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mar\Desktop\سنه رابعه\المشاريع\Finally\Finally\Statement of Applicability\"/>
    </mc:Choice>
  </mc:AlternateContent>
  <xr:revisionPtr revIDLastSave="0" documentId="13_ncr:1_{F3C81CEC-1DB8-43DE-BDEA-C4594FBB85F9}" xr6:coauthVersionLast="47" xr6:coauthVersionMax="47" xr10:uidLastSave="{00000000-0000-0000-0000-000000000000}"/>
  <bookViews>
    <workbookView xWindow="-120" yWindow="-120" windowWidth="24240" windowHeight="13020" tabRatio="915" xr2:uid="{00000000-000D-0000-FFFF-FFFF00000000}"/>
  </bookViews>
  <sheets>
    <sheet name="Version" sheetId="22" r:id="rId1"/>
    <sheet name="ISO27001 Annex A Applicability" sheetId="21" r:id="rId2"/>
    <sheet name="ISO27001 Annex A Dashboard" sheetId="50" r:id="rId3"/>
    <sheet name="ISO27001 Applicability Table" sheetId="41" state="hidden" r:id="rId4"/>
    <sheet name="ISO27001 Results Chart" sheetId="51" state="hidden" r:id="rId5"/>
    <sheet name="ISO27001 % Results Chart" sheetId="53" state="hidden" r:id="rId6"/>
    <sheet name="ISO27001 % Radar Chart" sheetId="54" state="hidden" r:id="rId7"/>
  </sheets>
  <definedNames>
    <definedName name="_xlnm.Print_Titles" localSheetId="1">'ISO27001 Annex A Applicability'!$12:$12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1" i="21" l="1"/>
  <c r="D121" i="21"/>
  <c r="E83" i="21"/>
  <c r="D83" i="21"/>
  <c r="E53" i="21"/>
  <c r="D53" i="21"/>
  <c r="C18" i="50" l="1"/>
  <c r="C11" i="41" l="1"/>
  <c r="E65" i="21" l="1"/>
  <c r="D65" i="21"/>
  <c r="D14" i="50" l="1"/>
  <c r="E14" i="50" s="1"/>
  <c r="D7" i="41"/>
  <c r="E7" i="41" s="1"/>
  <c r="F17" i="50"/>
  <c r="F10" i="41"/>
  <c r="D17" i="50"/>
  <c r="D10" i="41"/>
  <c r="D16" i="50"/>
  <c r="E16" i="50" s="1"/>
  <c r="D9" i="41"/>
  <c r="E9" i="41" s="1"/>
  <c r="D15" i="50"/>
  <c r="D8" i="41"/>
  <c r="F16" i="50"/>
  <c r="F9" i="41"/>
  <c r="F15" i="50"/>
  <c r="F8" i="41"/>
  <c r="G8" i="41" l="1"/>
  <c r="G15" i="50"/>
  <c r="E10" i="41"/>
  <c r="G10" i="41"/>
  <c r="E17" i="50"/>
  <c r="G17" i="50"/>
  <c r="G16" i="50"/>
  <c r="G9" i="41"/>
  <c r="D11" i="41"/>
  <c r="E8" i="41"/>
  <c r="E11" i="41" s="1"/>
  <c r="E15" i="50"/>
  <c r="D18" i="50"/>
  <c r="F14" i="50"/>
  <c r="F7" i="41"/>
  <c r="G7" i="41" s="1"/>
  <c r="G11" i="41" l="1"/>
  <c r="E18" i="50"/>
  <c r="G14" i="50"/>
  <c r="G18" i="50" s="1"/>
  <c r="F18" i="50"/>
  <c r="F11" i="41"/>
</calcChain>
</file>

<file path=xl/sharedStrings.xml><?xml version="1.0" encoding="utf-8"?>
<sst xmlns="http://schemas.openxmlformats.org/spreadsheetml/2006/main" count="546" uniqueCount="248">
  <si>
    <t xml:space="preserve"> AREA/SECTION</t>
  </si>
  <si>
    <t>Yes</t>
  </si>
  <si>
    <t>Totals:</t>
  </si>
  <si>
    <t>ISMS: Information Security Management System</t>
  </si>
  <si>
    <t>Terms used</t>
  </si>
  <si>
    <t>Information security management systems: Requirements</t>
  </si>
  <si>
    <t>AREA OF STANDARD</t>
  </si>
  <si>
    <t>Version information</t>
  </si>
  <si>
    <t>CONTROL</t>
  </si>
  <si>
    <t>CONTROL APPLICABLE?</t>
  </si>
  <si>
    <t>CONTROL IMPLEMENTED?</t>
  </si>
  <si>
    <t>JUSTIFICATION FOR INCLUSION OR EXCLUSION</t>
  </si>
  <si>
    <t>COMMENTS</t>
  </si>
  <si>
    <t>NO OF CONTROLS</t>
  </si>
  <si>
    <t>APPLICABLE CONTROLS</t>
  </si>
  <si>
    <t>% CONTROLS APPLICABLE</t>
  </si>
  <si>
    <t>CONTROLS IMPLEMENTED</t>
  </si>
  <si>
    <t>% APP CONTROLS IMPLEMENTED</t>
  </si>
  <si>
    <t>ISO/IEC 27001 Statement of Applicability results</t>
  </si>
  <si>
    <t>Total</t>
  </si>
  <si>
    <t>To refresh chart data, click on “Refresh All” on the Data ribbon.</t>
  </si>
  <si>
    <t>Statement of applicability results</t>
  </si>
  <si>
    <t>ISO/IEC 27001 Annex A Controls Number of Controls Applicable and Implemented</t>
  </si>
  <si>
    <t xml:space="preserve">APPLICABLE CONTROLS </t>
  </si>
  <si>
    <t xml:space="preserve">CONTROLS IMPLEMENTED </t>
  </si>
  <si>
    <t>ISO/IEC 27001 Annex A Controls Percentage of Controls Applicable and Implemented</t>
  </si>
  <si>
    <t xml:space="preserve">% APP CONTROLS IMPLEMENTED </t>
  </si>
  <si>
    <t xml:space="preserve">% CONTROLS APPLICABLE </t>
  </si>
  <si>
    <t>ISO/IEC 27001 Annex A Controls Percentage of Controls Applicable and Implemented Radar Chart</t>
  </si>
  <si>
    <t>A.5 Organizational controls</t>
  </si>
  <si>
    <t>A.6 People controls</t>
  </si>
  <si>
    <t>A.7 Physical controls</t>
  </si>
  <si>
    <t>A.8 Technological controls</t>
  </si>
  <si>
    <t>Note: Only those controls that are listed in Annex A of the ISO/IEC 27001 standard are shown here.</t>
  </si>
  <si>
    <t>ISO/IEC 27001 Statement of Applicability dashboard</t>
  </si>
  <si>
    <t>ISO/IEC 27001 Annex A controls percentage of controls applicable and implemented radar chart</t>
  </si>
  <si>
    <t>ISO/IEC 27001 Annex A controls number of controls applicable and implemented</t>
  </si>
  <si>
    <t>ISO/IEC 27001 Annex A controls percentage of controls applicable and implemented</t>
  </si>
  <si>
    <t>سياسة أمن المعلومات موجودة لكنها قديمة (القسم 6.2)</t>
  </si>
  <si>
    <t>تحتاج تحديث سنوي</t>
  </si>
  <si>
    <t>الأدوار محددة في الهيكل التنظيمي (القسم 2.1)</t>
  </si>
  <si>
    <t>موثقة في ISMS</t>
  </si>
  <si>
    <t>الفصل بين المهام مطبق في العمليات المصرفية</t>
  </si>
  <si>
    <t>يحتاج مراجعة دورية</t>
  </si>
  <si>
    <t>الإدارة العليا تدعم ISMS (القسم 5.1)</t>
  </si>
  <si>
    <t>موثق في السياسة</t>
  </si>
  <si>
    <t>لتنسيق مع ساما وNCA إلزامي (القسم 5.2)</t>
  </si>
  <si>
    <t xml:space="preserve">	قنوات اتصال رسمية</t>
  </si>
  <si>
    <t>البنك على تواصل مع مجموعات متخصصة</t>
  </si>
  <si>
    <t>جزئي</t>
  </si>
  <si>
    <t>No</t>
  </si>
  <si>
    <t>البنك على دراية بالتهديدات لكن غير منهجي (القسم 1.4)</t>
  </si>
  <si>
    <t>يحتاج عملية رسمية</t>
  </si>
  <si>
    <t>مشاريع التطوير تراعي الأمن (GitLab</t>
  </si>
  <si>
    <t>الأصول موثقة في القسم 3 من دراسة الحالة</t>
  </si>
  <si>
    <t>يحتاج تحديث دوري</t>
  </si>
  <si>
    <t>مطلوب لضبط استخدام الأصول</t>
  </si>
  <si>
    <t>إجراءات إعادة الأصول موجودة</t>
  </si>
  <si>
    <t xml:space="preserve">مطبق </t>
  </si>
  <si>
    <t>لا يوجد تصنيف رسمي للمعلومات (القسم 6.2)</t>
  </si>
  <si>
    <t>فجوة</t>
  </si>
  <si>
    <t>مرتبط بعدم وجود تصنيف</t>
  </si>
  <si>
    <t>نقل البيانات بين الفروع آمن</t>
  </si>
  <si>
    <t>مطبق جزئياً</t>
  </si>
  <si>
    <t>Active Directory + RSA SecurID (القسم 3.2)</t>
  </si>
  <si>
    <t>Active Directory مطبق (القسم 3.2)</t>
  </si>
  <si>
    <t>فحوصات أمنية وخلفية (القسم 3.1)</t>
  </si>
  <si>
    <t>ثقافة الأمن غير مترسخة (القسم 1.3) + محاكاة التصيد (القسم 4.7)</t>
  </si>
  <si>
    <t>مطلوب لمعاقبة المخالفات</t>
  </si>
  <si>
    <t>ضروري عند دوران 12% (القسم 1.3)</t>
  </si>
  <si>
    <t>مطلوب لحماية البيانات</t>
  </si>
  <si>
    <t>بعض الموظفين يعملون عن بُعد</t>
  </si>
  <si>
    <t>كلمات المرور تُدار يدوياً (القسم 3.2)</t>
  </si>
  <si>
    <t>يحتاج تحسين</t>
  </si>
  <si>
    <t>صلاحيات موروثة لم تُلغَ (القسم 4.5)</t>
  </si>
  <si>
    <t>فجوة جزئية</t>
  </si>
  <si>
    <t>العناية الواجبة الأساسية</t>
  </si>
  <si>
    <t>لا متطلبات أمنية في العقود (القسم 1.4)</t>
  </si>
  <si>
    <t>لا إدارة لسلسلة التوريد (القسم 1.4)</t>
  </si>
  <si>
    <t>لا مراقبة مستمرة للموردين</t>
  </si>
  <si>
    <t xml:space="preserve">	AWS مستخدم (القسم 3.4)</t>
  </si>
  <si>
    <t>فريق SOC موجود (القسم 2.1)</t>
  </si>
  <si>
    <t>مطبق</t>
  </si>
  <si>
    <t xml:space="preserve">	إجراءات موجودة</t>
  </si>
  <si>
    <t xml:space="preserve">	مطلوب (حوادث القسم 4)</t>
  </si>
  <si>
    <t>الدروس المستفادة من الحوادث</t>
  </si>
  <si>
    <t xml:space="preserve">	ضروري للتحقيقات</t>
  </si>
  <si>
    <t>خطط BCP مطلوبة (ساما)</t>
  </si>
  <si>
    <t>مركز تعافي في جدة (القسم 2.2)</t>
  </si>
  <si>
    <t xml:space="preserve">	ساما، NCA، PDPL (القسم 5.2)</t>
  </si>
  <si>
    <t>حماية الكود المصدري</t>
  </si>
  <si>
    <t>سجلات مالية وقانونية</t>
  </si>
  <si>
    <t>PDPL + 500,000 عميل</t>
  </si>
  <si>
    <t>المراجعة الداخلية موجودة (القسم 2.1)</t>
  </si>
  <si>
    <t>مطلوب للامتثال</t>
  </si>
  <si>
    <t>إجراءات IT موثقة (القسم 3.2)</t>
  </si>
  <si>
    <t xml:space="preserve">	عقود العمل موثقة</t>
  </si>
  <si>
    <t xml:space="preserve"> مطبق جزئيا</t>
  </si>
  <si>
    <t xml:space="preserve">مطبق جزئيا </t>
  </si>
  <si>
    <t>8 فقط أبلغوا عن التصيد (القسم 4.7)</t>
  </si>
  <si>
    <t>المقر الرئيسي 12 طابقاً (القسم 2.2)</t>
  </si>
  <si>
    <t>بطاقات ذكية (القسم 3.3)</t>
  </si>
  <si>
    <t>مكاتب الإدارة محمية</t>
  </si>
  <si>
    <t>CCTV + إنذار حريق (القسم 3.3)</t>
  </si>
  <si>
    <t>أنظمة إطفاء + تكييف دقيق (القسم 3.3)</t>
  </si>
  <si>
    <t>مركز البيانات الرئيسي (القسم 2.2)</t>
  </si>
  <si>
    <t>مطلوب لكن غير مطبق بشكل كامل</t>
  </si>
  <si>
    <t>معدات موزعة في الفروع</t>
  </si>
  <si>
    <t xml:space="preserve">	فقدان جهاز محمول (القسم 4.3)</t>
  </si>
  <si>
    <t>وسائط التخزين في مراكز البيانات</t>
  </si>
  <si>
    <t>UPS + مولدات احتياطية (القسم 3.3)</t>
  </si>
  <si>
    <t>كابلات الشبكة الداخلية</t>
  </si>
  <si>
    <t>صيانة دورية</t>
  </si>
  <si>
    <t>فجوة موثقة في Gap Assessment</t>
  </si>
  <si>
    <t>2,000 جهاز محمول + 500 مكتبي (القسم 3.3)</t>
  </si>
  <si>
    <t>فجوة: مشاركة كلمات مرور المسؤولين (القسم 6.2)</t>
  </si>
  <si>
    <t xml:space="preserve">	مطلوب لتقييد الوصول</t>
  </si>
  <si>
    <t>GitLab Enterprise (القسم 3.2)</t>
  </si>
  <si>
    <t>RSA SecurID + AD (القسم 3.2)</t>
  </si>
  <si>
    <t>مراقبة سعة الخوادم (القسم 3.3)</t>
  </si>
  <si>
    <t>Trend Micro مطبق (القسم 3.2)</t>
  </si>
  <si>
    <t>فحص ربع سنوي (القسم 4.6)</t>
  </si>
  <si>
    <t xml:space="preserve">	مطلوب لكن غير مطبق بالكامل</t>
  </si>
  <si>
    <t>مطلوب لحذف البيانات القديمة</t>
  </si>
  <si>
    <t>فجوة: بيانات حقيقية في الاختبار (القسم 6.2)</t>
  </si>
  <si>
    <t>مطلوب لكن غير مطبق</t>
  </si>
  <si>
    <t>نسخ احتياطي في مركز جدة (القسم 2.2)</t>
  </si>
  <si>
    <t>مركز تعافي في جدة</t>
  </si>
  <si>
    <t>Syslog Server (القسم 3.2)</t>
  </si>
  <si>
    <t>فجوة: لا يوجد SIEM (القسم 3.2)</t>
  </si>
  <si>
    <t>مطلوب لتوحيد الوقت</t>
  </si>
  <si>
    <t>مطلوب لضبط التثبيت</t>
  </si>
  <si>
    <t>Palo Alto + FortiWeb (القسم 3.2)</t>
  </si>
  <si>
    <t>Cisco ASR + مزدوج (القسم 3.3)</t>
  </si>
  <si>
    <t>فصل الشبكات مطبق</t>
  </si>
  <si>
    <t xml:space="preserve">	FortiWeb مطبق</t>
  </si>
  <si>
    <t>فجوة سابقة: FDE لم يكن مطبقاً (القسم 4.3)</t>
  </si>
  <si>
    <t>ضروري لتطوير آفاق بلس</t>
  </si>
  <si>
    <t>فجوة: SQL Injection (القسم 4.6)</t>
  </si>
  <si>
    <t xml:space="preserve">مطلوب للأنظمة الجديدة </t>
  </si>
  <si>
    <t xml:space="preserve">	مطلوب لمنع SQL Injection</t>
  </si>
  <si>
    <t>شركة تطوير خارجية (القسم 3.4)</t>
  </si>
  <si>
    <t>فجوة: لا فصل واضح (القسم 6.2)</t>
  </si>
  <si>
    <t xml:space="preserve">	Jira Service Management (القسم 3.2)</t>
  </si>
  <si>
    <t xml:space="preserve">	المراجعة الداخلية موجودة</t>
  </si>
  <si>
    <t>A.5.1 سياسات أمن المعلومات (Policies for information security)</t>
  </si>
  <si>
    <t>A.5.2 أدوار ومسؤوليات أمن المعلومات (Information security roles and responsibilities)</t>
  </si>
  <si>
    <t>A.5.3 الفصل بين المهام (Segregation of duties)</t>
  </si>
  <si>
    <t>A.5.4 مسؤوليات الإدارة (Management responsibilities)</t>
  </si>
  <si>
    <t>A.5.5 الاتصال بالسلطات والجهات التنظيمية (Contact with authorities)</t>
  </si>
  <si>
    <t>A.5.6 الاتصال بمجموعات الاهتمام المتخصصة (Contact with special interest groups)</t>
  </si>
  <si>
    <t>A.5.7 معلومات التهديدات السيبرانية (Threat intelligence)</t>
  </si>
  <si>
    <t>A.5.8 أمن المعلومات في إدارة المشاريع (Information security in project management)</t>
  </si>
  <si>
    <t>A.5.9 جرد الأصول والمعلومات المرتبطة بها (Inventory of assets)</t>
  </si>
  <si>
    <t>A.5.10 الاستخدام المقبول للأصول والمعلومات (Acceptable use of assets)</t>
  </si>
  <si>
    <t>A.5.11 إعادة الأصول (Return of assets)</t>
  </si>
  <si>
    <t>A.5.12 تصنيف المعلومات (Classification of information)</t>
  </si>
  <si>
    <t>A.5.13 وسم المعلومات (Labelling of information)</t>
  </si>
  <si>
    <t>A.5.14 نقل المعلومات (Information transfer)</t>
  </si>
  <si>
    <t>A.5.15 التحكم في الوصول (Access control)</t>
  </si>
  <si>
    <t>A.5.16 إدارة الهويات (Identity management)</t>
  </si>
  <si>
    <t>A.5.17 معلومات المصادقة (Authentication information)</t>
  </si>
  <si>
    <t>A.5.18 حقوق الوصول المميزة (Access rights)</t>
  </si>
  <si>
    <t>A.5.19 أمن المعلومات في علاقات الموردين (Information security in supplier relationships)</t>
  </si>
  <si>
    <t>A.5.20 معالجة أمن المعلومات في اتفاقيات الموردين (Addressing security within supplier agreements)</t>
  </si>
  <si>
    <t>A.5.21 إدارة أمن سلسلة توريد تكنولوجيا المعلومات (ICT supply chain security)</t>
  </si>
  <si>
    <t>A.5.22 مراقبة ومراجعة وإدارة تغيير خدمات الموردين (Monitoring and change of supplier services)</t>
  </si>
  <si>
    <t>A.5.23 أمن المعلومات لخدمات الحوسبة السحابية (Information security for cloud services)</t>
  </si>
  <si>
    <t>A.5.24 التخطيط والجاهزية لإدارة الحوادث (Incident management planning and preparation)</t>
  </si>
  <si>
    <t>A.5.25 تقييم أحداث أمن المعلومات واتخاذ القرار (Assessment of security events)</t>
  </si>
  <si>
    <t>A.5.26 الاستجابة لحوادث أمن المعلومات (Response to information security incidents)</t>
  </si>
  <si>
    <t>A.5.27 التعلم من حوادث أمن المعلومات (Learning from incidents)</t>
  </si>
  <si>
    <t>A.5.28 جمع الأدلة الرقمية (Collection of evidence)</t>
  </si>
  <si>
    <t>A.5.29 أمن المعلومات أثناء التعطل واستمرارية الأعمال (Information security during disruption)</t>
  </si>
  <si>
    <t>A.5.30 جاهزية تكنولوجيا المعلومات لاستمرارية الأعمال (ICT readiness for business continuity)</t>
  </si>
  <si>
    <t>A.5.31 المتطلبات القانونية والتنظيمية والتعاقدية (Legal, statutory and regulatory requirements)</t>
  </si>
  <si>
    <t>A.5.32 حقوق الملكية الفكرية (Intellectual property rights)</t>
  </si>
  <si>
    <t>A.5.33 حماية السجلات المصرفية (Protection of records)</t>
  </si>
  <si>
    <t>A.5.34 خصوصية وحماية البيانات الشخصية PII (Privacy and protection of PII)</t>
  </si>
  <si>
    <t>A.5.35 المراجعة المستقلة لأمن المعلومات (Independent review of information security)</t>
  </si>
  <si>
    <t>A.5.36 الامتثال للسياسات والمعايير الأمنية (Compliance with policies and standards)</t>
  </si>
  <si>
    <t>A.5.37 توثيق إجراءات التشغيل (Documented operating procedures)</t>
  </si>
  <si>
    <t>داخلي / سري (Confidential / Internal)</t>
  </si>
  <si>
    <t>ISMS-FORM-06-2</t>
  </si>
  <si>
    <t>1.0</t>
  </si>
  <si>
    <t>15 سبتمبر 2026</t>
  </si>
  <si>
    <t>د. نورة القحطاني (الرئيس التنفيذي) وأ. سارة الحربي (CISO) ومجلس الإدارة</t>
  </si>
  <si>
    <t>تصنيف الوثيقة (Security Classification):</t>
  </si>
  <si>
    <t>مرجع الوثيقة (Document Ref):</t>
  </si>
  <si>
    <t>الإصدار (Version):</t>
  </si>
  <si>
    <t>التاريخ (Dated):</t>
  </si>
  <si>
    <t>الاعتماد (Approval):</t>
  </si>
  <si>
    <t>A.6.1 الفحص والتدقيق الأمني للموظفين (Screening)</t>
  </si>
  <si>
    <t>A.6.2 شروط وأحكام التوظيف (Terms and conditions of employment)</t>
  </si>
  <si>
    <t>A.6.3 التوعية والتدريب بأمن المعلومات (Security awareness, education and training)</t>
  </si>
  <si>
    <t>A.6.4 الإجراءات التأديبية والجزاءات (Disciplinary process)</t>
  </si>
  <si>
    <t>A.6.5 مسؤوليات ما بعد إنهاء الخدمة (Responsibilities after termination)</t>
  </si>
  <si>
    <t>A.6.6 اتفاقيات السرية وعدم الإفصاح NDA (Confidentiality or non-disclosure agreements)</t>
  </si>
  <si>
    <t>A.6.7 العمل عن بُعد (Remote working)</t>
  </si>
  <si>
    <t>A.6.8 الإبلاغ عن أحداث ومخاوف أمن المعلومات (Reporting security events)</t>
  </si>
  <si>
    <t>A.7.1 المحيط الأمني المادي (Physical security perimeters)</t>
  </si>
  <si>
    <t>A.7.2 التحكم في الدخول المادي (Physical entry)</t>
  </si>
  <si>
    <t>A.7.3 تأمين المكاتب والغرف والمرافق (Securing offices, rooms and facilities)</t>
  </si>
  <si>
    <t>A.7.4 المراقبة الأمنية المادية (Physical security monitoring)</t>
  </si>
  <si>
    <t>A.7.5 الحماية من التهديدات المادية والبيئية (Protecting against environmental threats)</t>
  </si>
  <si>
    <t>A.7.6 العمل في المناطق الآمنة (Working in secure areas)</t>
  </si>
  <si>
    <t>A.7.7 المكتب النظيف والشاشة النظيفة (Clear desk and clear screen)</t>
  </si>
  <si>
    <t>A.7.8 وضع المعدات وحمايتها (Equipment siting and protection)</t>
  </si>
  <si>
    <t>A.7.9 أمن الأصول خارج مقرات العمل (Security of assets off-premises)</t>
  </si>
  <si>
    <t>A.7.10 وسائط التخزين (Storage media)</t>
  </si>
  <si>
    <t>A.7.11 المرافق الداعمة وإمدادات الطاقة (Supporting utilities)</t>
  </si>
  <si>
    <t>A.7.12 أمن الكابلات والتوصيلات (Cabling security)</t>
  </si>
  <si>
    <t>A.7.13 صيانة المعدات والأجهزة (Equipment maintenance)</t>
  </si>
  <si>
    <t>A.7.14 التخلص الآمن من المعدات وإعادة استخدامها (Secure disposal or re-use of equipment)</t>
  </si>
  <si>
    <t>A.8.1 أجهزة المستخدم الطرفية (User endpoint devices)</t>
  </si>
  <si>
    <t>A.8.2 حقوق الوصول المميزة (Privileged access rights)</t>
  </si>
  <si>
    <t>A.8.3 تقييد الوصول إلى المعلومات (Information access restriction)</t>
  </si>
  <si>
    <t>A.8.4 الوصول إلى الكود المصدري (Access to source code)</t>
  </si>
  <si>
    <t>A.8.5 المصادقة الآمنة (Secure authentication)</t>
  </si>
  <si>
    <t>A.8.6 إدارة السعة والقدرة الاستيعابية (Capacity management)</t>
  </si>
  <si>
    <t>A.8.7 الحماية من البرمجيات الخبيثة (Protection against malware)</t>
  </si>
  <si>
    <t>A.8.8 إدارة الثغرات الفنية (Management of technical vulnerabilities)</t>
  </si>
  <si>
    <t>A.8.9 إدارة التهيئة والضبط الأمني (Configuration management)</t>
  </si>
  <si>
    <t>A.8.10 حذف وتطهير المعلومات (Information deletion)</t>
  </si>
  <si>
    <t>A.8.11 تجهيل وإخفاء البيانات (Data masking)</t>
  </si>
  <si>
    <t>A.8.12 منع تسرب البيانات DLP (Data leakage prevention)</t>
  </si>
  <si>
    <t>A.8.13 النسخ الاحتياطي للمعلومات (Information backup)</t>
  </si>
  <si>
    <t>A.8.14 التكرار وتوافر مرافق المعالجة (Redundancy of processing facilities)</t>
  </si>
  <si>
    <t>A.8.15 تسجيل الأحداث والأنشطة (Logging)</t>
  </si>
  <si>
    <t>A.8.16 أنشطة المراقبة (Monitoring activities)</t>
  </si>
  <si>
    <t>A.8.17 مزامنة الساعة والتوقيت (Clock synchronization)</t>
  </si>
  <si>
    <t>A.8.18 استخدام برامج الأدوات المساعدة المميزة (Privileged utility programs)</t>
  </si>
  <si>
    <t>A.8.19 تثبيت البرمجيات على الأنظمة التشغيلية (Installation of software)</t>
  </si>
  <si>
    <t>A.8.20 أمن الشبكات (Networks security)</t>
  </si>
  <si>
    <t>A.8.21 أمن خدمات الشبكة (Security of network services)</t>
  </si>
  <si>
    <t>A.8.22 عزل وتجزئة الشبكات (Segregation of networks)</t>
  </si>
  <si>
    <t>A.8.23 مرشحات الويب (Web filtering)</t>
  </si>
  <si>
    <t>A.8.24 استخدام التشفير والتعمية (Use of cryptography)</t>
  </si>
  <si>
    <t>A.8.25 دورة حياة التطوير الآمن SSDLC (Secure development life cycle)</t>
  </si>
  <si>
    <t>A.8.26 متطلبات أمن التطبيقات (Application security requirements)</t>
  </si>
  <si>
    <t>A.8.27 معمارية الأنظمة الآمنة وهندستها (Secure system architecture and engineering)</t>
  </si>
  <si>
    <t>A.8.28 البرمجة الآمنة (Secure coding)</t>
  </si>
  <si>
    <t>A.8.29 اختبارات الأمن في التطوير والقبول (Security testing in development)</t>
  </si>
  <si>
    <t>A.8.30 التطوير بالاستعانة بمصادر خارجية (Outsourced development)</t>
  </si>
  <si>
    <t>A.8.31 فصل بيئات التطوير والاختبار والإنتاج (Separation of environments)</t>
  </si>
  <si>
    <t>A.8.32 إدارة التغيير (Change management)</t>
  </si>
  <si>
    <t>A.8.33 معلومات وبيانات الاختبار (Test information)</t>
  </si>
  <si>
    <t>A.8.34 حماية نظم المعلومات أثناء التدقيق (Protection of systems during audit)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</si>
</sst>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44444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44444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44444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444444"/>
      <name val="Calibri"/>
      <family val="2"/>
      <scheme val="minor"/>
    </font>
    <font>
      <sz val="11"/>
      <color theme="1" tint="-0.499984740745262"/>
      <name val="Calibri"/>
      <family val="2"/>
      <scheme val="minor"/>
    </font>
    <font>
      <b/>
      <sz val="9"/>
      <color rgb="FF000000"/>
      <name val="Arial"/>
    </font>
    <font>
      <sz val="10"/>
      <color rgb="FF000000"/>
      <name val="Arial"/>
    </font>
    <font>
      <b/>
      <sz val="10"/>
      <color rgb="FF1F497D"/>
      <name val="Arial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BFD"/>
        <bgColor rgb="FFF9FBFD"/>
      </patternFill>
    </fill>
    <fill>
      <patternFill patternType="solid">
        <fgColor rgb="FFF2F6FA"/>
        <bgColor rgb="FFF2F6FA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9" fontId="10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0" fillId="0" borderId="0" xfId="0" applyAlignment="1" applyProtection="1">
      <alignment horizontal="center" vertical="top"/>
      <protection locked="0"/>
    </xf>
    <xf numFmtId="0" fontId="6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1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9" fontId="0" fillId="0" borderId="0" xfId="0" applyNumberFormat="1" applyAlignment="1">
      <alignment horizontal="left" vertical="top" wrapText="1"/>
    </xf>
    <xf numFmtId="9" fontId="7" fillId="0" borderId="0" xfId="0" applyNumberFormat="1" applyFont="1" applyAlignment="1">
      <alignment horizontal="left" vertical="top" wrapText="1"/>
    </xf>
    <xf numFmtId="9" fontId="0" fillId="0" borderId="0" xfId="3" applyFont="1" applyAlignment="1">
      <alignment horizontal="center" vertical="top" wrapText="1"/>
    </xf>
    <xf numFmtId="9" fontId="7" fillId="0" borderId="0" xfId="0" applyNumberFormat="1" applyFont="1" applyAlignment="1">
      <alignment horizontal="center" vertical="top" wrapText="1"/>
    </xf>
    <xf numFmtId="0" fontId="13" fillId="0" borderId="0" xfId="0" applyFont="1"/>
    <xf numFmtId="0" fontId="13" fillId="0" borderId="0" xfId="0" applyFont="1" applyAlignment="1">
      <alignment vertical="top"/>
    </xf>
    <xf numFmtId="0" fontId="1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9" fontId="5" fillId="0" borderId="0" xfId="0" applyNumberFormat="1" applyFont="1" applyAlignment="1">
      <alignment horizontal="center" vertical="top"/>
    </xf>
    <xf numFmtId="0" fontId="6" fillId="0" borderId="0" xfId="0" applyFont="1" applyAlignment="1">
      <alignment vertical="top" wrapText="1"/>
    </xf>
    <xf numFmtId="9" fontId="6" fillId="0" borderId="0" xfId="0" applyNumberFormat="1" applyFont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9" fontId="0" fillId="0" borderId="0" xfId="0" applyNumberFormat="1" applyAlignment="1">
      <alignment horizontal="center" vertical="top" wrapText="1"/>
    </xf>
    <xf numFmtId="0" fontId="13" fillId="2" borderId="0" xfId="0" applyFont="1" applyFill="1" applyAlignment="1">
      <alignment vertical="top"/>
    </xf>
    <xf numFmtId="0" fontId="13" fillId="2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14" fillId="2" borderId="0" xfId="0" applyFont="1" applyFill="1" applyAlignment="1">
      <alignment horizontal="left" vertical="top" readingOrder="1"/>
    </xf>
    <xf numFmtId="0" fontId="0" fillId="0" borderId="0" xfId="0" applyAlignment="1">
      <alignment wrapText="1"/>
    </xf>
    <xf numFmtId="0" fontId="13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/>
    </xf>
    <xf numFmtId="0" fontId="14" fillId="0" borderId="0" xfId="0" applyFont="1" applyAlignment="1">
      <alignment horizontal="left" vertical="center" readingOrder="1"/>
    </xf>
    <xf numFmtId="9" fontId="5" fillId="2" borderId="0" xfId="0" applyNumberFormat="1" applyFont="1" applyFill="1" applyAlignment="1">
      <alignment horizontal="center" vertical="top"/>
    </xf>
    <xf numFmtId="0" fontId="3" fillId="0" borderId="0" xfId="0" applyFont="1" applyAlignment="1">
      <alignment vertical="top"/>
    </xf>
    <xf numFmtId="0" fontId="8" fillId="0" borderId="0" xfId="0" applyFont="1"/>
    <xf numFmtId="0" fontId="16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5" fillId="4" borderId="0" xfId="0" applyFont="1" applyFill="1" applyAlignment="1">
      <alignment vertical="top" wrapText="1"/>
    </xf>
    <xf numFmtId="0" fontId="0" fillId="4" borderId="0" xfId="0" applyFill="1" applyAlignment="1" applyProtection="1">
      <alignment horizontal="center" vertical="top"/>
      <protection locked="0"/>
    </xf>
    <xf numFmtId="0" fontId="17" fillId="4" borderId="0" xfId="0" applyFont="1" applyFill="1" applyAlignment="1">
      <alignment vertical="top" wrapText="1"/>
    </xf>
    <xf numFmtId="0" fontId="18" fillId="0" borderId="3" xfId="0" applyFont="1" applyBorder="1" applyAlignment="1">
      <alignment horizontal="right" vertical="center" wrapText="1"/>
    </xf>
    <xf numFmtId="0" fontId="18" fillId="5" borderId="3" xfId="0" applyFont="1" applyFill="1" applyBorder="1" applyAlignment="1">
      <alignment horizontal="right" vertical="center" wrapText="1"/>
    </xf>
    <xf numFmtId="0" fontId="20" fillId="6" borderId="3" xfId="0" applyFont="1" applyFill="1" applyBorder="1" applyAlignment="1">
      <alignment horizontal="right" vertical="center" readingOrder="2"/>
    </xf>
    <xf numFmtId="0" fontId="19" fillId="0" borderId="3" xfId="0" applyFont="1" applyBorder="1" applyAlignment="1">
      <alignment horizontal="right" vertical="center" readingOrder="2"/>
    </xf>
    <xf numFmtId="0" fontId="0" fillId="0" borderId="4" xfId="0" applyBorder="1" applyAlignment="1">
      <alignment readingOrder="2"/>
    </xf>
    <xf numFmtId="0" fontId="0" fillId="0" borderId="5" xfId="0" applyBorder="1" applyAlignment="1">
      <alignment readingOrder="2"/>
    </xf>
  </cellXfs>
  <cellStyles count="4">
    <cellStyle name="Heading 1" xfId="1" builtinId="16" customBuiltin="1"/>
    <cellStyle name="Heading 2" xfId="2" builtinId="17" customBuiltin="1"/>
    <cellStyle name="Normal" xfId="0" builtinId="0"/>
    <cellStyle name="Percent" xfId="3" builtinId="5"/>
  </cellStyles>
  <dxfs count="90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vertical="top"/>
    </dxf>
    <dxf>
      <alignment vertical="top"/>
    </dxf>
    <dxf>
      <alignment wrapText="1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color rgb="FF444444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color rgb="FF444444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color theme="1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/>
        <i val="0"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b val="0"/>
        <i val="0"/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2" defaultTableStyle="CertiKit table style" defaultPivotStyle="PivotStyleLight16">
    <tableStyle name="CertiKit Slicer" pivot="0" table="0" count="10" xr9:uid="{FCC2AF85-7669-42AB-BE0F-8A70404C0D05}">
      <tableStyleElement type="wholeTable" dxfId="89"/>
      <tableStyleElement type="headerRow" dxfId="88"/>
    </tableStyle>
    <tableStyle name="CertiKit table style" pivot="0" count="4" xr9:uid="{C9D01002-7EEB-4392-906F-2D3907ED044F}">
      <tableStyleElement type="wholeTable" dxfId="87"/>
      <tableStyleElement type="headerRow" dxfId="86"/>
      <tableStyleElement type="firstRowStripe" dxfId="85"/>
      <tableStyleElement type="secondRowStripe" dxfId="84"/>
    </tableStyle>
  </tableStyles>
  <colors>
    <mruColors>
      <color rgb="FF005E63"/>
      <color rgb="FFD0EAEB"/>
      <color rgb="FF009BA4"/>
      <color rgb="FF444444"/>
      <color rgb="FF006D73"/>
      <color rgb="FF004043"/>
      <color rgb="FFFFFFFF"/>
      <color rgb="FFDBDC2C"/>
      <color rgb="FFCCC900"/>
    </mruColors>
  </colors>
  <extLst>
    <ext xmlns:x14="http://schemas.microsoft.com/office/spreadsheetml/2009/9/main" uri="{46F421CA-312F-682f-3DD2-61675219B42D}">
      <x14:dxfs count="8"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rgb="FFD0EAEB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rgb="FFD0EAEB"/>
            </patternFill>
          </fill>
          <border>
            <left style="thin">
              <color rgb="FF009BA4"/>
            </left>
            <right style="thin">
              <color rgb="FF009BA4"/>
            </right>
            <top style="thin">
              <color rgb="FF009BA4"/>
            </top>
            <bottom style="thin">
              <color rgb="FF009BA4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ertiKit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[REQUIRED1-ISMS-FORM-06-2 Statement of Applicability.xlsx]ISO27001 Results Chart!ISO27001ApplicabilityTableResults</c:name>
    <c:fmtId val="2"/>
  </c:pivotSource>
  <c:chart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'ISO27001 Results Chart'!$C$6</c:f>
              <c:strCache>
                <c:ptCount val="1"/>
                <c:pt idx="0">
                  <c:v>APPLICABLE CONTROLS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Chart'!$C$7:$C$10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0-4A80-B1EB-C77DBA585E0D}"/>
            </c:ext>
          </c:extLst>
        </c:ser>
        <c:ser>
          <c:idx val="1"/>
          <c:order val="1"/>
          <c:tx>
            <c:strRef>
              <c:f>'ISO27001 Results Chart'!$D$6</c:f>
              <c:strCache>
                <c:ptCount val="1"/>
                <c:pt idx="0">
                  <c:v>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Chart'!$D$7:$D$10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0-4A80-B1EB-C77DBA585E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1313755320"/>
        <c:axId val="1313755976"/>
      </c:barChart>
      <c:catAx>
        <c:axId val="1313755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976"/>
        <c:crosses val="autoZero"/>
        <c:auto val="1"/>
        <c:lblAlgn val="ctr"/>
        <c:lblOffset val="100"/>
        <c:noMultiLvlLbl val="0"/>
      </c:catAx>
      <c:valAx>
        <c:axId val="13137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[REQUIRED1-ISMS-FORM-06-2 Statement of Applicability.xlsx]ISO27001 % Radar Chart!ISO27001%RadarPivot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'ISO27001 % Radar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8B31-4004-A082-7510746DA1DF}"/>
              </c:ext>
            </c:extLst>
          </c:dPt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1-4004-A082-7510746DA1DF}"/>
            </c:ext>
          </c:extLst>
        </c:ser>
        <c:ser>
          <c:idx val="1"/>
          <c:order val="1"/>
          <c:tx>
            <c:strRef>
              <c:f>'ISO27001 % Radar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1-4004-A082-7510746DA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042832"/>
        <c:axId val="1224050704"/>
      </c:radarChart>
      <c:catAx>
        <c:axId val="12240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50704"/>
        <c:crosses val="autoZero"/>
        <c:auto val="1"/>
        <c:lblAlgn val="ctr"/>
        <c:lblOffset val="100"/>
        <c:noMultiLvlLbl val="0"/>
      </c:catAx>
      <c:valAx>
        <c:axId val="12240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[REQUIRED1-ISMS-FORM-06-2 Statement of Applicability.xlsx]ISO27001 % Results Chart!ISO27001%ResultsChart</c:name>
    <c:fmtId val="2"/>
  </c:pivotSource>
  <c:chart>
    <c:autoTitleDeleted val="0"/>
    <c:pivotFmts>
      <c:pivotFmt>
        <c:idx val="0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587967557413172E-2"/>
          <c:y val="0.1462151846403815"/>
          <c:w val="0.90582570922884864"/>
          <c:h val="0.51356465057252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'ISO27001 % Results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C-4F59-AC71-A5CE5BEA51F3}"/>
            </c:ext>
          </c:extLst>
        </c:ser>
        <c:ser>
          <c:idx val="1"/>
          <c:order val="1"/>
          <c:tx>
            <c:strRef>
              <c:f>'ISO27001 % Results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C-4F59-AC71-A5CE5BEA51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566447928"/>
        <c:axId val="566439400"/>
      </c:barChart>
      <c:catAx>
        <c:axId val="5664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39400"/>
        <c:crosses val="autoZero"/>
        <c:auto val="1"/>
        <c:lblAlgn val="ctr"/>
        <c:lblOffset val="100"/>
        <c:noMultiLvlLbl val="0"/>
      </c:catAx>
      <c:valAx>
        <c:axId val="566439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4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824897</xdr:colOff>
      <xdr:row>1</xdr:row>
      <xdr:rowOff>0</xdr:rowOff>
    </xdr:from>
    <xdr:to>
      <xdr:col>1</xdr:col>
      <xdr:colOff>1702877</xdr:colOff>
      <xdr:row>6</xdr:row>
      <xdr:rowOff>5490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FC248-3526-4325-8472-81CD8F6F30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3017" y="182880"/>
          <a:ext cx="919890" cy="919890"/>
        </a:xfrm>
        <a:prstGeom prst="rect">
          <a:avLst/>
        </a:prstGeom>
      </xdr:spPr>
    </xdr:pic>
    <xdr:clientData/>
  </xdr:twoCellAnchor>
  <xdr:twoCellAnchor editAs="absolute">
    <xdr:from>
      <xdr:col>2</xdr:col>
      <xdr:colOff>2752724</xdr:colOff>
      <xdr:row>1</xdr:row>
      <xdr:rowOff>66675</xdr:rowOff>
    </xdr:from>
    <xdr:to>
      <xdr:col>2</xdr:col>
      <xdr:colOff>4324349</xdr:colOff>
      <xdr:row>6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DD1298-AF59-4A7C-8014-C1146D958AF0}"/>
            </a:ext>
          </a:extLst>
        </xdr:cNvPr>
        <xdr:cNvSpPr txBox="1"/>
      </xdr:nvSpPr>
      <xdr:spPr>
        <a:xfrm>
          <a:off x="5743574" y="257175"/>
          <a:ext cx="1571625" cy="895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1200" b="0">
              <a:solidFill>
                <a:schemeClr val="tx1"/>
              </a:solidFill>
              <a:latin typeface="+mn-lt"/>
            </a:rPr>
            <a:t>ISMS-FORM-06-2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832517</xdr:colOff>
      <xdr:row>1</xdr:row>
      <xdr:rowOff>0</xdr:rowOff>
    </xdr:from>
    <xdr:to>
      <xdr:col>1</xdr:col>
      <xdr:colOff>1765742</xdr:colOff>
      <xdr:row>5</xdr:row>
      <xdr:rowOff>186465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E2DEE-A00D-4476-B557-5D61457FD5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0637" y="182880"/>
          <a:ext cx="933225" cy="933225"/>
        </a:xfrm>
        <a:prstGeom prst="rect">
          <a:avLst/>
        </a:prstGeom>
      </xdr:spPr>
    </xdr:pic>
    <xdr:clientData/>
  </xdr:twoCellAnchor>
  <xdr:twoCellAnchor editAs="absolute">
    <xdr:from>
      <xdr:col>5</xdr:col>
      <xdr:colOff>990600</xdr:colOff>
      <xdr:row>0</xdr:row>
      <xdr:rowOff>95250</xdr:rowOff>
    </xdr:from>
    <xdr:to>
      <xdr:col>6</xdr:col>
      <xdr:colOff>2105025</xdr:colOff>
      <xdr:row>5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66A553-D01B-4BC2-8F03-B8580CCB4DA0}"/>
            </a:ext>
          </a:extLst>
        </xdr:cNvPr>
        <xdr:cNvSpPr txBox="1"/>
      </xdr:nvSpPr>
      <xdr:spPr>
        <a:xfrm>
          <a:off x="10544175" y="95250"/>
          <a:ext cx="2743200" cy="895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1800" b="1">
              <a:solidFill>
                <a:schemeClr val="tx1"/>
              </a:solidFill>
            </a:rPr>
            <a:t>ISO/IEC 27001 Statement</a:t>
          </a:r>
          <a:br>
            <a:rPr lang="en-GB" sz="1800" b="1">
              <a:solidFill>
                <a:schemeClr val="tx1"/>
              </a:solidFill>
            </a:rPr>
          </a:br>
          <a:r>
            <a:rPr lang="en-GB" sz="1800" b="1">
              <a:solidFill>
                <a:schemeClr val="tx1"/>
              </a:solidFill>
            </a:rPr>
            <a:t>of</a:t>
          </a:r>
          <a:r>
            <a:rPr lang="en-GB" sz="1800" b="1" baseline="0">
              <a:solidFill>
                <a:schemeClr val="tx1"/>
              </a:solidFill>
            </a:rPr>
            <a:t> Applicability</a:t>
          </a:r>
          <a:endParaRPr lang="en-GB" sz="1800" b="1">
            <a:solidFill>
              <a:schemeClr val="tx1"/>
            </a:solidFill>
          </a:endParaRPr>
        </a:p>
        <a:p>
          <a:pPr algn="r"/>
          <a:r>
            <a:rPr lang="en-GB" sz="1200" b="0">
              <a:solidFill>
                <a:schemeClr val="tx1"/>
              </a:solidFill>
              <a:latin typeface="+mn-lt"/>
            </a:rPr>
            <a:t>ISMS-FORM-06-2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803942</xdr:colOff>
      <xdr:row>1</xdr:row>
      <xdr:rowOff>0</xdr:rowOff>
    </xdr:from>
    <xdr:to>
      <xdr:col>1</xdr:col>
      <xdr:colOff>1723832</xdr:colOff>
      <xdr:row>6</xdr:row>
      <xdr:rowOff>5490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2E9002-A906-4AC0-A2FA-26EFAF104C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2062" y="182880"/>
          <a:ext cx="919890" cy="9198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190499</xdr:rowOff>
    </xdr:from>
    <xdr:to>
      <xdr:col>6</xdr:col>
      <xdr:colOff>1238250</xdr:colOff>
      <xdr:row>55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FE48F8-1447-4C87-8D52-1D8AA1E4F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14</xdr:row>
      <xdr:rowOff>0</xdr:rowOff>
    </xdr:from>
    <xdr:to>
      <xdr:col>23</xdr:col>
      <xdr:colOff>600075</xdr:colOff>
      <xdr:row>35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0B58A1-5C4A-4D20-A9D4-4BB1B499A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26</xdr:col>
      <xdr:colOff>0</xdr:colOff>
      <xdr:row>66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7FCA02-66DE-4B55-ABF4-0A9A08B13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4746.477841782405" missingItemsLimit="0" createdVersion="6" refreshedVersion="8" minRefreshableVersion="3" recordCount="4" xr:uid="{6C55B2AF-FD4C-4E2A-90E9-57ADDCC687EC}">
  <cacheSource type="worksheet">
    <worksheetSource name="ISO27001ApplicabilityTableResults"/>
  </cacheSource>
  <cacheFields count="6">
    <cacheField name="AREA OF STANDARD" numFmtId="0">
      <sharedItems count="4">
        <s v="A.5 Organizational controls"/>
        <s v="A.6 People controls"/>
        <s v="A.7 Physical controls"/>
        <s v="A.8 Technological controls"/>
      </sharedItems>
    </cacheField>
    <cacheField name="NO OF CONTROLS" numFmtId="0">
      <sharedItems containsSemiMixedTypes="0" containsString="0" containsNumber="1" containsInteger="1" minValue="8" maxValue="37" count="4">
        <n v="37"/>
        <n v="8"/>
        <n v="14"/>
        <n v="34"/>
      </sharedItems>
    </cacheField>
    <cacheField name="APPLICABLE CONTROLS" numFmtId="0">
      <sharedItems containsSemiMixedTypes="0" containsString="0" containsNumber="1" containsInteger="1" minValue="8" maxValue="37"/>
    </cacheField>
    <cacheField name="% CONTROLS APPLICABLE" numFmtId="9">
      <sharedItems containsSemiMixedTypes="0" containsString="0" containsNumber="1" containsInteger="1" minValue="1" maxValue="1"/>
    </cacheField>
    <cacheField name="CONTROLS IMPLEMENTED" numFmtId="0">
      <sharedItems containsSemiMixedTypes="0" containsString="0" containsNumber="1" containsInteger="1" minValue="8" maxValue="37"/>
    </cacheField>
    <cacheField name="% APP CONTROLS IMPLEMENTED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37"/>
    <n v="1"/>
    <n v="37"/>
    <n v="1"/>
  </r>
  <r>
    <x v="1"/>
    <x v="1"/>
    <n v="8"/>
    <n v="1"/>
    <n v="8"/>
    <n v="1"/>
  </r>
  <r>
    <x v="2"/>
    <x v="2"/>
    <n v="14"/>
    <n v="1"/>
    <n v="14"/>
    <n v="1"/>
  </r>
  <r>
    <x v="3"/>
    <x v="3"/>
    <n v="34"/>
    <n v="1"/>
    <n v="3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9303E-6E9A-48D3-AB4D-497A24F9D4DB}" name="ISO27001ApplicabilityTableResults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3"/>
        <item x="2"/>
        <item x="1"/>
        <item x="0"/>
      </items>
    </pivotField>
    <pivotField compact="0" outline="0" showAll="0" defaultSubtotal="0">
      <items count="4">
        <item x="1"/>
        <item x="2"/>
        <item x="0"/>
        <item x="3"/>
      </items>
    </pivotField>
    <pivotField dataField="1" compact="0" outline="0" showAll="0" defaultSubtotal="0"/>
    <pivotField compact="0" numFmtId="9" outline="0" showAll="0" defaultSubtotal="0"/>
    <pivotField dataField="1" compact="0" outline="0" showAll="0" defaultSubtotal="0"/>
    <pivotField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PPLICABLE CONTROLS " fld="2" baseField="0" baseItem="0"/>
    <dataField name="CONTROLS IMPLEMENTED " fld="4" baseField="0" baseItem="0"/>
  </dataFields>
  <formats count="19">
    <format dxfId="53">
      <pivotArea field="0" type="button" dataOnly="0" labelOnly="1" outline="0" axis="axisRow" fieldPosition="0"/>
    </format>
    <format dxfId="52">
      <pivotArea field="1" type="button" dataOnly="0" labelOnly="1" outline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0" type="button" dataOnly="0" labelOnly="1" outline="0" axis="axisRow" fieldPosition="0"/>
    </format>
    <format dxfId="49">
      <pivotArea field="1" type="button" dataOnly="0" labelOnly="1" outline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0" type="button" dataOnly="0" labelOnly="1" outline="0" axis="axisRow" fieldPosition="0"/>
    </format>
    <format dxfId="46">
      <pivotArea field="1" type="button" dataOnly="0" labelOnly="1" outline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field="0" type="button" dataOnly="0" labelOnly="1" outline="0" axis="axisRow" fieldPosition="0"/>
    </format>
    <format dxfId="37">
      <pivotArea outline="0" collapsedLevelsAreSubtotals="1" fieldPosition="0"/>
    </format>
    <format dxfId="36">
      <pivotArea field="1" type="button" dataOnly="0" labelOnly="1" outline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B51A0-1D29-4E93-B185-2C89C5A979FD}" name="ISO27001%ResultsChar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0" numFmtId="9"/>
  </dataFields>
  <formats count="16"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934ED-2F0B-4A92-9567-739929ED11FF}" name="ISO27001%Radar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3" numFmtId="9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DB06E7-7D6F-403C-8E3A-F5BBD56971F2}" name="ISO27001ApplicabilityTableResults11" displayName="ISO27001ApplicabilityTableResults11" ref="B13:G18" totalsRowCount="1" headerRowDxfId="83" dataDxfId="82" totalsRowDxfId="81">
  <autoFilter ref="B13:G17" xr:uid="{16E3726A-73C1-41CE-8F46-DBA207B716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8F61ACA-E89D-4904-AAA5-6FE1DAED9AED}" name="AREA OF STANDARD" totalsRowLabel="Total" dataDxfId="80" totalsRowDxfId="79"/>
    <tableColumn id="2" xr3:uid="{AE53D220-DA83-4DEB-AE78-2D75A7D2CD21}" name="NO OF CONTROLS" totalsRowFunction="sum" dataDxfId="78" totalsRowDxfId="77"/>
    <tableColumn id="3" xr3:uid="{7FE396D4-21C6-474A-B018-BA5AD64CEA0C}" name="APPLICABLE CONTROLS" totalsRowFunction="sum" dataDxfId="76" totalsRowDxfId="75"/>
    <tableColumn id="4" xr3:uid="{8BED9C7A-B004-4D71-B4CC-05228F107ACA}" name="% CONTROLS APPLICABLE" totalsRowFunction="average" dataDxfId="74" totalsRowDxfId="73">
      <calculatedColumnFormula>ISO27001ApplicabilityTableResults11[[#This Row],[APPLICABLE CONTROLS]]/ISO27001ApplicabilityTableResults11[[#This Row],[NO OF CONTROLS]]</calculatedColumnFormula>
    </tableColumn>
    <tableColumn id="5" xr3:uid="{A620EFC7-FE96-4193-A980-999CE2ECAE1A}" name="CONTROLS IMPLEMENTED" totalsRowFunction="sum" dataDxfId="72" totalsRowDxfId="71"/>
    <tableColumn id="6" xr3:uid="{BA65B6EA-AC70-4181-83DB-08FD4DED54F6}" name="% APP CONTROLS IMPLEMENTED" totalsRowFunction="average" dataDxfId="70" totalsRowDxfId="69" dataCellStyle="Percent">
      <calculatedColumnFormula>IF(D14=0,1,+F14/D14)</calculatedColumnFormula>
    </tableColumn>
  </tableColumns>
  <tableStyleInfo name="CertiKit table styl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FF413-42C5-4FF3-BF4E-50BECADF5A1F}" name="ISO27001ApplicabilityTableResults" displayName="ISO27001ApplicabilityTableResults" ref="B6:G11" totalsRowCount="1" headerRowDxfId="68" dataDxfId="67" totalsRowDxfId="66">
  <autoFilter ref="B6:G10" xr:uid="{8DBDF783-1B2F-40CE-9969-C9849A412C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9B52E0-703B-49E8-8ECA-AB25675ED429}" name="AREA OF STANDARD" totalsRowLabel="Total" dataDxfId="65" totalsRowDxfId="64"/>
    <tableColumn id="2" xr3:uid="{2D8938BC-98D3-4443-8FC6-877AB5E6F742}" name="NO OF CONTROLS" totalsRowFunction="sum" dataDxfId="63" totalsRowDxfId="62"/>
    <tableColumn id="3" xr3:uid="{716F52A1-0E1F-4C94-9E87-06DB6348E079}" name="APPLICABLE CONTROLS" totalsRowFunction="sum" dataDxfId="61" totalsRowDxfId="60"/>
    <tableColumn id="4" xr3:uid="{68DD5436-2FB5-4027-8CAF-8BBD781BB754}" name="% CONTROLS APPLICABLE" totalsRowFunction="average" dataDxfId="59" totalsRowDxfId="58">
      <calculatedColumnFormula>ISO27001ApplicabilityTableResults[[#This Row],[APPLICABLE CONTROLS]]/ISO27001ApplicabilityTableResults[[#This Row],[NO OF CONTROLS]]</calculatedColumnFormula>
    </tableColumn>
    <tableColumn id="5" xr3:uid="{D7FBC7F4-DEB8-47F3-BDA1-0B0F476FA329}" name="CONTROLS IMPLEMENTED" totalsRowFunction="sum" dataDxfId="57" totalsRowDxfId="56"/>
    <tableColumn id="6" xr3:uid="{66AA482B-B506-48FD-8EF3-E62F5CF59DF3}" name="% APP CONTROLS IMPLEMENTED" totalsRowFunction="average" dataDxfId="55" totalsRowDxfId="54" dataCellStyle="Percent">
      <calculatedColumnFormula>IF(D7=0,1,+F7/D7)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colours (new)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7E5C-C17B-4E5F-84AF-3A1DD9B071CA}">
  <dimension ref="B2:G14"/>
  <sheetViews>
    <sheetView showGridLines="0" tabSelected="1" zoomScaleNormal="100" workbookViewId="0">
      <selection activeCell="C19" sqref="C19"/>
    </sheetView>
  </sheetViews>
  <sheetFormatPr defaultColWidth="9.140625" defaultRowHeight="15" x14ac:dyDescent="0.25"/>
  <cols>
    <col min="1" max="1" width="2.85546875" style="2" customWidth="1"/>
    <col min="2" max="2" width="42" style="2" customWidth="1"/>
    <col min="3" max="3" width="83.7109375" style="2" customWidth="1"/>
    <col min="4" max="16384" width="9.140625" style="2"/>
  </cols>
  <sheetData>
    <row r="2" spans="2:7" x14ac:dyDescent="0.25">
      <c r="B2" s="3"/>
    </row>
    <row r="3" spans="2:7" x14ac:dyDescent="0.25">
      <c r="B3" s="3"/>
    </row>
    <row r="4" spans="2:7" x14ac:dyDescent="0.25">
      <c r="B4" s="3"/>
    </row>
    <row r="5" spans="2:7" x14ac:dyDescent="0.25">
      <c r="B5" s="3"/>
    </row>
    <row r="6" spans="2:7" x14ac:dyDescent="0.25">
      <c r="B6" s="3"/>
    </row>
    <row r="8" spans="2:7" ht="21" x14ac:dyDescent="0.25">
      <c r="B8" s="4" t="s">
        <v>7</v>
      </c>
      <c r="C8" s="5"/>
    </row>
    <row r="9" spans="2:7" x14ac:dyDescent="0.25">
      <c r="B9" s="5"/>
      <c r="C9" s="5"/>
    </row>
    <row r="10" spans="2:7" x14ac:dyDescent="0.25">
      <c r="B10" s="62" t="s">
        <v>187</v>
      </c>
      <c r="C10" s="63" t="s">
        <v>182</v>
      </c>
      <c r="D10" s="64"/>
      <c r="E10" s="64"/>
      <c r="F10" s="64"/>
      <c r="G10" s="65"/>
    </row>
    <row r="11" spans="2:7" x14ac:dyDescent="0.25">
      <c r="B11" s="62" t="s">
        <v>188</v>
      </c>
      <c r="C11" s="63" t="s">
        <v>183</v>
      </c>
      <c r="D11" s="64"/>
      <c r="E11" s="64"/>
      <c r="F11" s="64"/>
      <c r="G11" s="65"/>
    </row>
    <row r="12" spans="2:7" x14ac:dyDescent="0.25">
      <c r="B12" s="62" t="s">
        <v>189</v>
      </c>
      <c r="C12" s="63" t="s">
        <v>184</v>
      </c>
      <c r="D12" s="64"/>
      <c r="E12" s="64"/>
      <c r="F12" s="64"/>
      <c r="G12" s="65"/>
    </row>
    <row r="13" spans="2:7" x14ac:dyDescent="0.25">
      <c r="B13" s="62" t="s">
        <v>190</v>
      </c>
      <c r="C13" s="63" t="s">
        <v>185</v>
      </c>
      <c r="D13" s="64"/>
      <c r="E13" s="64"/>
      <c r="F13" s="64"/>
      <c r="G13" s="65"/>
    </row>
    <row r="14" spans="2:7" x14ac:dyDescent="0.25">
      <c r="B14" s="62" t="s">
        <v>191</v>
      </c>
      <c r="C14" s="63" t="s">
        <v>186</v>
      </c>
      <c r="D14" s="64"/>
      <c r="E14" s="64"/>
      <c r="F14" s="64"/>
      <c r="G14" s="65"/>
    </row>
  </sheetData>
  <mergeCells count="5">
    <mergeCell ref="C10:G10"/>
    <mergeCell ref="C11:G11"/>
    <mergeCell ref="C12:G12"/>
    <mergeCell ref="C13:G13"/>
    <mergeCell ref="C14:G14"/>
  </mergeCells>
  <pageMargins left="0.70866141732283472" right="0.70866141732283472" top="0.74803149606299213" bottom="0.74803149606299213" header="0.31496062992125984" footer="0.31496062992125984"/>
  <pageSetup paperSize="9" scale="90" orientation="portrait" horizontalDpi="1200" verticalDpi="1200" r:id="rId1"/>
  <headerFooter>
    <oddFooter>&amp;L&amp;D&amp;CPage &amp;P of &amp;N&amp;R[Insert classification]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2B18-38F2-4F6D-AA45-9F8B2CE369B9}">
  <sheetPr>
    <pageSetUpPr fitToPage="1"/>
  </sheetPr>
  <dimension ref="A2:H121"/>
  <sheetViews>
    <sheetView showGridLines="0" topLeftCell="A3" workbookViewId="0">
      <selection activeCell="B92" sqref="B92"/>
    </sheetView>
  </sheetViews>
  <sheetFormatPr defaultColWidth="9.140625" defaultRowHeight="15" x14ac:dyDescent="0.25"/>
  <cols>
    <col min="1" max="1" width="2.85546875" style="1" customWidth="1"/>
    <col min="2" max="2" width="37" style="1" customWidth="1"/>
    <col min="3" max="3" width="76.28515625" style="1" customWidth="1"/>
    <col min="4" max="4" width="12.140625" style="1" customWidth="1"/>
    <col min="5" max="5" width="15" style="1" customWidth="1"/>
    <col min="6" max="6" width="24.42578125" style="1" customWidth="1"/>
    <col min="7" max="7" width="32" style="1" customWidth="1"/>
    <col min="8" max="16384" width="9.140625" style="1"/>
  </cols>
  <sheetData>
    <row r="2" spans="1:8" x14ac:dyDescent="0.25">
      <c r="B2" s="8"/>
    </row>
    <row r="3" spans="1:8" x14ac:dyDescent="0.25">
      <c r="B3" s="8"/>
    </row>
    <row r="4" spans="1:8" x14ac:dyDescent="0.25">
      <c r="B4" s="8"/>
    </row>
    <row r="5" spans="1:8" ht="15.75" x14ac:dyDescent="0.25">
      <c r="B5" s="8"/>
      <c r="F5" s="7"/>
    </row>
    <row r="6" spans="1:8" ht="15.75" x14ac:dyDescent="0.25">
      <c r="B6" s="8"/>
      <c r="F6" s="7"/>
    </row>
    <row r="7" spans="1:8" ht="15.75" x14ac:dyDescent="0.25">
      <c r="B7" s="8"/>
      <c r="F7" s="7" t="s">
        <v>4</v>
      </c>
    </row>
    <row r="8" spans="1:8" ht="21" x14ac:dyDescent="0.25">
      <c r="B8" s="4" t="s">
        <v>5</v>
      </c>
      <c r="F8" s="2" t="s">
        <v>3</v>
      </c>
    </row>
    <row r="9" spans="1:8" ht="15" customHeight="1" x14ac:dyDescent="0.25">
      <c r="B9" s="6" t="s">
        <v>33</v>
      </c>
    </row>
    <row r="10" spans="1:8" ht="15" customHeight="1" x14ac:dyDescent="0.25">
      <c r="B10" s="6"/>
    </row>
    <row r="12" spans="1:8" ht="33.75" customHeight="1" x14ac:dyDescent="0.25">
      <c r="B12" s="16" t="s">
        <v>0</v>
      </c>
      <c r="C12" s="16" t="s">
        <v>8</v>
      </c>
      <c r="D12" s="16" t="s">
        <v>9</v>
      </c>
      <c r="E12" s="16" t="s">
        <v>10</v>
      </c>
      <c r="F12" s="16" t="s">
        <v>11</v>
      </c>
      <c r="G12" s="16" t="s">
        <v>12</v>
      </c>
    </row>
    <row r="14" spans="1:8" ht="18.75" x14ac:dyDescent="0.25">
      <c r="B14" s="15" t="s">
        <v>29</v>
      </c>
    </row>
    <row r="15" spans="1:8" ht="30" x14ac:dyDescent="0.25">
      <c r="C15" s="60" t="s">
        <v>145</v>
      </c>
      <c r="D15" s="11" t="s">
        <v>1</v>
      </c>
      <c r="E15" s="11" t="s">
        <v>1</v>
      </c>
      <c r="F15" s="59" t="s">
        <v>38</v>
      </c>
      <c r="G15" s="57" t="s">
        <v>39</v>
      </c>
      <c r="H15" s="57"/>
    </row>
    <row r="16" spans="1:8" ht="30" x14ac:dyDescent="0.25">
      <c r="A16" s="9"/>
      <c r="C16" s="61" t="s">
        <v>146</v>
      </c>
      <c r="D16" s="11" t="s">
        <v>1</v>
      </c>
      <c r="E16" s="11" t="s">
        <v>1</v>
      </c>
      <c r="F16" s="57" t="s">
        <v>40</v>
      </c>
      <c r="G16" s="57" t="s">
        <v>41</v>
      </c>
      <c r="H16" s="57"/>
    </row>
    <row r="17" spans="1:8" ht="30" x14ac:dyDescent="0.25">
      <c r="A17" s="9"/>
      <c r="C17" s="60" t="s">
        <v>147</v>
      </c>
      <c r="D17" s="11" t="s">
        <v>1</v>
      </c>
      <c r="E17" s="11" t="s">
        <v>1</v>
      </c>
      <c r="F17" s="57" t="s">
        <v>42</v>
      </c>
      <c r="G17" s="57" t="s">
        <v>43</v>
      </c>
      <c r="H17" s="57"/>
    </row>
    <row r="18" spans="1:8" ht="30" x14ac:dyDescent="0.25">
      <c r="A18" s="9"/>
      <c r="C18" s="61" t="s">
        <v>148</v>
      </c>
      <c r="D18" s="11" t="s">
        <v>1</v>
      </c>
      <c r="E18" s="11" t="s">
        <v>1</v>
      </c>
      <c r="F18" s="57" t="s">
        <v>44</v>
      </c>
      <c r="G18" s="57" t="s">
        <v>45</v>
      </c>
      <c r="H18" s="57"/>
    </row>
    <row r="19" spans="1:8" ht="30" x14ac:dyDescent="0.25">
      <c r="A19" s="9"/>
      <c r="C19" s="60" t="s">
        <v>149</v>
      </c>
      <c r="D19" s="11" t="s">
        <v>1</v>
      </c>
      <c r="E19" s="11" t="s">
        <v>1</v>
      </c>
      <c r="F19" s="57" t="s">
        <v>46</v>
      </c>
      <c r="G19" s="57" t="s">
        <v>47</v>
      </c>
      <c r="H19" s="57"/>
    </row>
    <row r="20" spans="1:8" ht="30" x14ac:dyDescent="0.25">
      <c r="A20" s="9"/>
      <c r="C20" s="61" t="s">
        <v>150</v>
      </c>
      <c r="D20" s="11" t="s">
        <v>1</v>
      </c>
      <c r="E20" s="11" t="s">
        <v>1</v>
      </c>
      <c r="F20" s="57" t="s">
        <v>48</v>
      </c>
      <c r="G20" s="57" t="s">
        <v>49</v>
      </c>
      <c r="H20" s="57"/>
    </row>
    <row r="21" spans="1:8" ht="30" x14ac:dyDescent="0.25">
      <c r="A21" s="9"/>
      <c r="C21" s="60" t="s">
        <v>151</v>
      </c>
      <c r="D21" s="11" t="s">
        <v>1</v>
      </c>
      <c r="E21" s="58" t="s">
        <v>50</v>
      </c>
      <c r="F21" s="57" t="s">
        <v>51</v>
      </c>
      <c r="G21" s="57" t="s">
        <v>52</v>
      </c>
      <c r="H21" s="57"/>
    </row>
    <row r="22" spans="1:8" ht="30" x14ac:dyDescent="0.25">
      <c r="A22" s="9"/>
      <c r="C22" s="61" t="s">
        <v>152</v>
      </c>
      <c r="D22" s="11" t="s">
        <v>1</v>
      </c>
      <c r="E22" s="11" t="s">
        <v>1</v>
      </c>
      <c r="F22" s="57" t="s">
        <v>53</v>
      </c>
      <c r="G22" s="57" t="s">
        <v>49</v>
      </c>
      <c r="H22" s="57"/>
    </row>
    <row r="23" spans="1:8" ht="30" x14ac:dyDescent="0.25">
      <c r="A23" s="9"/>
      <c r="C23" s="60" t="s">
        <v>153</v>
      </c>
      <c r="D23" s="11" t="s">
        <v>1</v>
      </c>
      <c r="E23" s="11" t="s">
        <v>1</v>
      </c>
      <c r="F23" s="57" t="s">
        <v>54</v>
      </c>
      <c r="G23" s="57" t="s">
        <v>55</v>
      </c>
      <c r="H23" s="57"/>
    </row>
    <row r="24" spans="1:8" x14ac:dyDescent="0.25">
      <c r="A24" s="9"/>
      <c r="C24" s="61" t="s">
        <v>154</v>
      </c>
      <c r="D24" s="11" t="s">
        <v>1</v>
      </c>
      <c r="E24" s="11" t="s">
        <v>1</v>
      </c>
      <c r="F24" s="57" t="s">
        <v>56</v>
      </c>
      <c r="G24" s="57" t="s">
        <v>49</v>
      </c>
      <c r="H24" s="57"/>
    </row>
    <row r="25" spans="1:8" x14ac:dyDescent="0.25">
      <c r="A25" s="9"/>
      <c r="C25" s="60" t="s">
        <v>155</v>
      </c>
      <c r="D25" s="11" t="s">
        <v>1</v>
      </c>
      <c r="E25" s="11" t="s">
        <v>1</v>
      </c>
      <c r="F25" s="57" t="s">
        <v>57</v>
      </c>
      <c r="G25" s="57" t="s">
        <v>58</v>
      </c>
      <c r="H25" s="57"/>
    </row>
    <row r="26" spans="1:8" ht="30" x14ac:dyDescent="0.25">
      <c r="A26" s="9"/>
      <c r="C26" s="61" t="s">
        <v>156</v>
      </c>
      <c r="D26" s="11" t="s">
        <v>1</v>
      </c>
      <c r="E26" s="58" t="s">
        <v>50</v>
      </c>
      <c r="F26" s="57" t="s">
        <v>59</v>
      </c>
      <c r="G26" s="57" t="s">
        <v>60</v>
      </c>
      <c r="H26" s="57"/>
    </row>
    <row r="27" spans="1:8" x14ac:dyDescent="0.25">
      <c r="A27" s="9"/>
      <c r="C27" s="60" t="s">
        <v>157</v>
      </c>
      <c r="D27" s="11" t="s">
        <v>1</v>
      </c>
      <c r="E27" s="58" t="s">
        <v>50</v>
      </c>
      <c r="F27" s="57" t="s">
        <v>61</v>
      </c>
      <c r="G27" s="57" t="s">
        <v>60</v>
      </c>
      <c r="H27" s="57"/>
    </row>
    <row r="28" spans="1:8" x14ac:dyDescent="0.25">
      <c r="A28" s="9"/>
      <c r="C28" s="61" t="s">
        <v>158</v>
      </c>
      <c r="D28" s="11" t="s">
        <v>1</v>
      </c>
      <c r="E28" s="11" t="s">
        <v>1</v>
      </c>
      <c r="F28" s="57" t="s">
        <v>62</v>
      </c>
      <c r="G28" s="57" t="s">
        <v>63</v>
      </c>
      <c r="H28" s="57"/>
    </row>
    <row r="29" spans="1:8" ht="30" x14ac:dyDescent="0.25">
      <c r="A29" s="9"/>
      <c r="C29" s="60" t="s">
        <v>159</v>
      </c>
      <c r="D29" s="11" t="s">
        <v>1</v>
      </c>
      <c r="E29" s="11" t="s">
        <v>1</v>
      </c>
      <c r="F29" s="57" t="s">
        <v>64</v>
      </c>
      <c r="G29" s="57" t="s">
        <v>58</v>
      </c>
      <c r="H29" s="57"/>
    </row>
    <row r="30" spans="1:8" ht="30" x14ac:dyDescent="0.25">
      <c r="A30" s="9"/>
      <c r="C30" s="61" t="s">
        <v>160</v>
      </c>
      <c r="D30" s="11" t="s">
        <v>1</v>
      </c>
      <c r="E30" s="11" t="s">
        <v>1</v>
      </c>
      <c r="F30" s="57" t="s">
        <v>65</v>
      </c>
      <c r="G30" s="57" t="s">
        <v>58</v>
      </c>
      <c r="H30" s="57"/>
    </row>
    <row r="31" spans="1:8" ht="30" x14ac:dyDescent="0.25">
      <c r="A31" s="9"/>
      <c r="C31" s="60" t="s">
        <v>161</v>
      </c>
      <c r="D31" s="11" t="s">
        <v>1</v>
      </c>
      <c r="E31" s="11" t="s">
        <v>1</v>
      </c>
      <c r="F31" s="57" t="s">
        <v>72</v>
      </c>
      <c r="G31" s="57" t="s">
        <v>73</v>
      </c>
      <c r="H31" s="57"/>
    </row>
    <row r="32" spans="1:8" ht="30" x14ac:dyDescent="0.25">
      <c r="A32" s="9"/>
      <c r="C32" s="61" t="s">
        <v>162</v>
      </c>
      <c r="D32" s="11" t="s">
        <v>1</v>
      </c>
      <c r="E32" s="11" t="s">
        <v>1</v>
      </c>
      <c r="F32" s="57" t="s">
        <v>74</v>
      </c>
      <c r="G32" s="57" t="s">
        <v>75</v>
      </c>
      <c r="H32" s="57"/>
    </row>
    <row r="33" spans="1:8" x14ac:dyDescent="0.25">
      <c r="A33" s="9"/>
      <c r="C33" s="60" t="s">
        <v>163</v>
      </c>
      <c r="D33" s="11" t="s">
        <v>1</v>
      </c>
      <c r="E33" s="11" t="s">
        <v>1</v>
      </c>
      <c r="F33" s="57" t="s">
        <v>76</v>
      </c>
      <c r="G33" s="57" t="s">
        <v>49</v>
      </c>
      <c r="H33" s="57"/>
    </row>
    <row r="34" spans="1:8" ht="30" x14ac:dyDescent="0.25">
      <c r="A34" s="9"/>
      <c r="C34" s="61" t="s">
        <v>164</v>
      </c>
      <c r="D34" s="11" t="s">
        <v>1</v>
      </c>
      <c r="E34" s="58" t="s">
        <v>50</v>
      </c>
      <c r="F34" s="57" t="s">
        <v>77</v>
      </c>
      <c r="G34" s="57" t="s">
        <v>60</v>
      </c>
      <c r="H34" s="57"/>
    </row>
    <row r="35" spans="1:8" ht="30" x14ac:dyDescent="0.25">
      <c r="A35" s="9"/>
      <c r="C35" s="60" t="s">
        <v>165</v>
      </c>
      <c r="D35" s="11" t="s">
        <v>1</v>
      </c>
      <c r="E35" s="58" t="s">
        <v>50</v>
      </c>
      <c r="F35" s="57" t="s">
        <v>78</v>
      </c>
      <c r="G35" s="57" t="s">
        <v>60</v>
      </c>
      <c r="H35" s="57"/>
    </row>
    <row r="36" spans="1:8" x14ac:dyDescent="0.25">
      <c r="A36" s="9"/>
      <c r="C36" s="61" t="s">
        <v>166</v>
      </c>
      <c r="D36" s="11" t="s">
        <v>1</v>
      </c>
      <c r="E36" s="58" t="s">
        <v>50</v>
      </c>
      <c r="F36" s="57" t="s">
        <v>79</v>
      </c>
      <c r="G36" s="57" t="s">
        <v>60</v>
      </c>
      <c r="H36" s="57"/>
    </row>
    <row r="37" spans="1:8" x14ac:dyDescent="0.25">
      <c r="A37" s="9"/>
      <c r="C37" s="60" t="s">
        <v>167</v>
      </c>
      <c r="D37" s="11" t="s">
        <v>1</v>
      </c>
      <c r="E37" s="11" t="s">
        <v>1</v>
      </c>
      <c r="F37" s="57" t="s">
        <v>80</v>
      </c>
      <c r="G37" s="57" t="s">
        <v>49</v>
      </c>
      <c r="H37" s="57"/>
    </row>
    <row r="38" spans="1:8" x14ac:dyDescent="0.25">
      <c r="A38" s="9"/>
      <c r="C38" s="61" t="s">
        <v>168</v>
      </c>
      <c r="D38" s="11" t="s">
        <v>1</v>
      </c>
      <c r="E38" s="11" t="s">
        <v>1</v>
      </c>
      <c r="F38" s="57" t="s">
        <v>81</v>
      </c>
      <c r="G38" s="57" t="s">
        <v>82</v>
      </c>
      <c r="H38" s="57"/>
    </row>
    <row r="39" spans="1:8" x14ac:dyDescent="0.25">
      <c r="A39" s="9"/>
      <c r="C39" s="60" t="s">
        <v>169</v>
      </c>
      <c r="D39" s="11" t="s">
        <v>1</v>
      </c>
      <c r="E39" s="11" t="s">
        <v>1</v>
      </c>
      <c r="F39" s="57" t="s">
        <v>83</v>
      </c>
      <c r="G39" s="57" t="s">
        <v>58</v>
      </c>
      <c r="H39" s="57"/>
    </row>
    <row r="40" spans="1:8" x14ac:dyDescent="0.25">
      <c r="A40" s="9"/>
      <c r="C40" s="61" t="s">
        <v>170</v>
      </c>
      <c r="D40" s="11" t="s">
        <v>1</v>
      </c>
      <c r="E40" s="11" t="s">
        <v>1</v>
      </c>
      <c r="F40" s="57" t="s">
        <v>84</v>
      </c>
      <c r="G40" s="57" t="s">
        <v>63</v>
      </c>
      <c r="H40" s="57"/>
    </row>
    <row r="41" spans="1:8" x14ac:dyDescent="0.25">
      <c r="A41" s="9"/>
      <c r="C41" s="60" t="s">
        <v>171</v>
      </c>
      <c r="D41" s="11" t="s">
        <v>1</v>
      </c>
      <c r="E41" s="11" t="s">
        <v>1</v>
      </c>
      <c r="F41" s="57" t="s">
        <v>85</v>
      </c>
      <c r="G41" s="57" t="s">
        <v>58</v>
      </c>
      <c r="H41" s="57"/>
    </row>
    <row r="42" spans="1:8" x14ac:dyDescent="0.25">
      <c r="A42" s="9"/>
      <c r="C42" s="61" t="s">
        <v>172</v>
      </c>
      <c r="D42" s="11" t="s">
        <v>1</v>
      </c>
      <c r="E42" s="11" t="s">
        <v>1</v>
      </c>
      <c r="F42" s="57" t="s">
        <v>86</v>
      </c>
      <c r="G42" s="57" t="s">
        <v>63</v>
      </c>
      <c r="H42" s="57"/>
    </row>
    <row r="43" spans="1:8" x14ac:dyDescent="0.25">
      <c r="A43" s="9"/>
      <c r="C43" s="60" t="s">
        <v>173</v>
      </c>
      <c r="D43" s="11" t="s">
        <v>1</v>
      </c>
      <c r="E43" s="11" t="s">
        <v>1</v>
      </c>
      <c r="F43" s="57" t="s">
        <v>87</v>
      </c>
      <c r="G43" s="57" t="s">
        <v>63</v>
      </c>
      <c r="H43" s="57"/>
    </row>
    <row r="44" spans="1:8" x14ac:dyDescent="0.25">
      <c r="A44" s="9"/>
      <c r="C44" s="61" t="s">
        <v>174</v>
      </c>
      <c r="D44" s="11" t="s">
        <v>1</v>
      </c>
      <c r="E44" s="11" t="s">
        <v>1</v>
      </c>
      <c r="F44" s="57" t="s">
        <v>88</v>
      </c>
      <c r="G44" s="57" t="s">
        <v>58</v>
      </c>
      <c r="H44" s="57"/>
    </row>
    <row r="45" spans="1:8" x14ac:dyDescent="0.25">
      <c r="A45" s="9"/>
      <c r="C45" s="60" t="s">
        <v>175</v>
      </c>
      <c r="D45" s="11" t="s">
        <v>1</v>
      </c>
      <c r="E45" s="11" t="s">
        <v>1</v>
      </c>
      <c r="F45" s="57" t="s">
        <v>89</v>
      </c>
      <c r="G45" s="57" t="s">
        <v>58</v>
      </c>
      <c r="H45" s="57"/>
    </row>
    <row r="46" spans="1:8" x14ac:dyDescent="0.25">
      <c r="A46" s="9"/>
      <c r="C46" s="61" t="s">
        <v>176</v>
      </c>
      <c r="D46" s="11" t="s">
        <v>1</v>
      </c>
      <c r="E46" s="11" t="s">
        <v>1</v>
      </c>
      <c r="F46" s="57" t="s">
        <v>90</v>
      </c>
      <c r="G46" s="57" t="s">
        <v>63</v>
      </c>
      <c r="H46" s="57"/>
    </row>
    <row r="47" spans="1:8" x14ac:dyDescent="0.25">
      <c r="A47" s="9"/>
      <c r="C47" s="60" t="s">
        <v>177</v>
      </c>
      <c r="D47" s="11" t="s">
        <v>1</v>
      </c>
      <c r="E47" s="11" t="s">
        <v>1</v>
      </c>
      <c r="F47" s="57" t="s">
        <v>91</v>
      </c>
      <c r="G47" s="57" t="s">
        <v>58</v>
      </c>
      <c r="H47" s="57"/>
    </row>
    <row r="48" spans="1:8" x14ac:dyDescent="0.25">
      <c r="A48" s="9"/>
      <c r="C48" s="61" t="s">
        <v>178</v>
      </c>
      <c r="D48" s="11" t="s">
        <v>1</v>
      </c>
      <c r="E48" s="11" t="s">
        <v>1</v>
      </c>
      <c r="F48" s="57" t="s">
        <v>92</v>
      </c>
      <c r="G48" s="57" t="s">
        <v>63</v>
      </c>
      <c r="H48" s="57"/>
    </row>
    <row r="49" spans="1:8" ht="30" x14ac:dyDescent="0.25">
      <c r="A49" s="9"/>
      <c r="C49" s="60" t="s">
        <v>179</v>
      </c>
      <c r="D49" s="11" t="s">
        <v>1</v>
      </c>
      <c r="E49" s="11" t="s">
        <v>1</v>
      </c>
      <c r="F49" s="57" t="s">
        <v>93</v>
      </c>
      <c r="G49" s="57" t="s">
        <v>58</v>
      </c>
      <c r="H49" s="57"/>
    </row>
    <row r="50" spans="1:8" x14ac:dyDescent="0.25">
      <c r="A50" s="9"/>
      <c r="C50" s="61" t="s">
        <v>180</v>
      </c>
      <c r="D50" s="11" t="s">
        <v>1</v>
      </c>
      <c r="E50" s="11" t="s">
        <v>1</v>
      </c>
      <c r="F50" s="57" t="s">
        <v>94</v>
      </c>
      <c r="G50" s="57" t="s">
        <v>63</v>
      </c>
      <c r="H50" s="57"/>
    </row>
    <row r="51" spans="1:8" x14ac:dyDescent="0.25">
      <c r="A51" s="9"/>
      <c r="C51" s="60" t="s">
        <v>181</v>
      </c>
      <c r="D51" s="11" t="s">
        <v>1</v>
      </c>
      <c r="E51" s="11" t="s">
        <v>1</v>
      </c>
      <c r="F51" s="57" t="s">
        <v>95</v>
      </c>
      <c r="G51" s="57" t="s">
        <v>63</v>
      </c>
      <c r="H51" s="57"/>
    </row>
    <row r="53" spans="1:8" x14ac:dyDescent="0.25">
      <c r="B53" s="10"/>
      <c r="C53" s="12" t="s">
        <v>2</v>
      </c>
      <c r="D53" s="13">
        <f>+COUNTIF(D15:D51,"Yes")</f>
        <v>37</v>
      </c>
      <c r="E53" s="13">
        <f>+COUNTIF(E15:E51,"Yes")</f>
        <v>31</v>
      </c>
      <c r="F53" s="10"/>
      <c r="G53" s="10"/>
    </row>
    <row r="55" spans="1:8" ht="18.75" x14ac:dyDescent="0.25">
      <c r="B55" s="15" t="s">
        <v>30</v>
      </c>
    </row>
    <row r="56" spans="1:8" ht="30" x14ac:dyDescent="0.25">
      <c r="C56" s="60" t="s">
        <v>192</v>
      </c>
      <c r="D56" s="11" t="s">
        <v>1</v>
      </c>
      <c r="E56" s="11" t="s">
        <v>1</v>
      </c>
      <c r="F56" s="57" t="s">
        <v>66</v>
      </c>
      <c r="G56" s="57" t="s">
        <v>58</v>
      </c>
      <c r="H56" s="57"/>
    </row>
    <row r="57" spans="1:8" x14ac:dyDescent="0.25">
      <c r="C57" s="61" t="s">
        <v>193</v>
      </c>
      <c r="D57" s="11" t="s">
        <v>1</v>
      </c>
      <c r="E57" s="11" t="s">
        <v>1</v>
      </c>
      <c r="F57" s="57" t="s">
        <v>96</v>
      </c>
      <c r="G57" s="57" t="s">
        <v>58</v>
      </c>
      <c r="H57" s="57"/>
    </row>
    <row r="58" spans="1:8" ht="45" x14ac:dyDescent="0.25">
      <c r="C58" s="60" t="s">
        <v>194</v>
      </c>
      <c r="D58" s="11" t="s">
        <v>1</v>
      </c>
      <c r="E58" s="11" t="s">
        <v>1</v>
      </c>
      <c r="F58" s="57" t="s">
        <v>67</v>
      </c>
      <c r="G58" s="57" t="s">
        <v>73</v>
      </c>
      <c r="H58" s="57"/>
    </row>
    <row r="59" spans="1:8" x14ac:dyDescent="0.25">
      <c r="C59" s="61" t="s">
        <v>195</v>
      </c>
      <c r="D59" s="11" t="s">
        <v>1</v>
      </c>
      <c r="E59" s="11" t="s">
        <v>1</v>
      </c>
      <c r="F59" s="57" t="s">
        <v>68</v>
      </c>
      <c r="G59" s="57" t="s">
        <v>58</v>
      </c>
      <c r="H59" s="57"/>
    </row>
    <row r="60" spans="1:8" ht="30" x14ac:dyDescent="0.25">
      <c r="C60" s="60" t="s">
        <v>196</v>
      </c>
      <c r="D60" s="11" t="s">
        <v>1</v>
      </c>
      <c r="E60" s="11" t="s">
        <v>1</v>
      </c>
      <c r="F60" s="57" t="s">
        <v>69</v>
      </c>
      <c r="G60" s="57" t="s">
        <v>97</v>
      </c>
      <c r="H60" s="57"/>
    </row>
    <row r="61" spans="1:8" x14ac:dyDescent="0.25">
      <c r="C61" s="61" t="s">
        <v>197</v>
      </c>
      <c r="D61" s="11" t="s">
        <v>1</v>
      </c>
      <c r="E61" s="11" t="s">
        <v>1</v>
      </c>
      <c r="F61" s="57" t="s">
        <v>70</v>
      </c>
      <c r="G61" s="57" t="s">
        <v>58</v>
      </c>
      <c r="H61" s="57"/>
    </row>
    <row r="62" spans="1:8" x14ac:dyDescent="0.25">
      <c r="C62" s="60" t="s">
        <v>198</v>
      </c>
      <c r="D62" s="11" t="s">
        <v>1</v>
      </c>
      <c r="E62" s="11" t="s">
        <v>1</v>
      </c>
      <c r="F62" s="57" t="s">
        <v>71</v>
      </c>
      <c r="G62" s="57" t="s">
        <v>98</v>
      </c>
      <c r="H62" s="57"/>
    </row>
    <row r="63" spans="1:8" ht="30" x14ac:dyDescent="0.25">
      <c r="C63" s="61" t="s">
        <v>199</v>
      </c>
      <c r="D63" s="11" t="s">
        <v>1</v>
      </c>
      <c r="E63" s="11" t="s">
        <v>1</v>
      </c>
      <c r="F63" s="57" t="s">
        <v>99</v>
      </c>
      <c r="G63" s="57" t="s">
        <v>73</v>
      </c>
      <c r="H63" s="57"/>
    </row>
    <row r="65" spans="2:8" x14ac:dyDescent="0.25">
      <c r="B65" s="10"/>
      <c r="C65" s="12" t="s">
        <v>2</v>
      </c>
      <c r="D65" s="13">
        <f>+COUNTIF(D56:D63,"Yes")</f>
        <v>8</v>
      </c>
      <c r="E65" s="13">
        <f>+COUNTIF(E56:E63,"Yes")</f>
        <v>8</v>
      </c>
      <c r="F65" s="10"/>
      <c r="G65" s="10"/>
    </row>
    <row r="67" spans="2:8" ht="18.75" x14ac:dyDescent="0.25">
      <c r="B67" s="15" t="s">
        <v>31</v>
      </c>
    </row>
    <row r="68" spans="2:8" ht="15" customHeight="1" x14ac:dyDescent="0.25">
      <c r="B68" s="15"/>
      <c r="C68" s="61" t="s">
        <v>200</v>
      </c>
      <c r="D68" s="11" t="s">
        <v>1</v>
      </c>
      <c r="E68" s="11" t="s">
        <v>1</v>
      </c>
      <c r="F68" s="57" t="s">
        <v>100</v>
      </c>
      <c r="G68" s="57" t="s">
        <v>82</v>
      </c>
      <c r="H68" s="57"/>
    </row>
    <row r="69" spans="2:8" ht="15" customHeight="1" x14ac:dyDescent="0.25">
      <c r="B69" s="15"/>
      <c r="C69" s="60" t="s">
        <v>201</v>
      </c>
      <c r="D69" s="11" t="s">
        <v>1</v>
      </c>
      <c r="E69" s="11" t="s">
        <v>1</v>
      </c>
      <c r="F69" s="57" t="s">
        <v>101</v>
      </c>
      <c r="G69" s="57" t="s">
        <v>82</v>
      </c>
      <c r="H69" s="57"/>
    </row>
    <row r="70" spans="2:8" ht="15" customHeight="1" x14ac:dyDescent="0.25">
      <c r="B70" s="15"/>
      <c r="C70" s="61" t="s">
        <v>202</v>
      </c>
      <c r="D70" s="11" t="s">
        <v>1</v>
      </c>
      <c r="E70" s="11" t="s">
        <v>1</v>
      </c>
      <c r="F70" s="57" t="s">
        <v>102</v>
      </c>
      <c r="G70" s="57" t="s">
        <v>82</v>
      </c>
      <c r="H70" s="57"/>
    </row>
    <row r="71" spans="2:8" ht="15" customHeight="1" x14ac:dyDescent="0.25">
      <c r="B71" s="15"/>
      <c r="C71" s="60" t="s">
        <v>203</v>
      </c>
      <c r="D71" s="11" t="s">
        <v>1</v>
      </c>
      <c r="E71" s="11" t="s">
        <v>1</v>
      </c>
      <c r="F71" s="57" t="s">
        <v>103</v>
      </c>
      <c r="G71" s="57" t="s">
        <v>82</v>
      </c>
      <c r="H71" s="57"/>
    </row>
    <row r="72" spans="2:8" ht="15" customHeight="1" x14ac:dyDescent="0.25">
      <c r="B72" s="15"/>
      <c r="C72" s="61" t="s">
        <v>204</v>
      </c>
      <c r="D72" s="11" t="s">
        <v>1</v>
      </c>
      <c r="E72" s="11" t="s">
        <v>1</v>
      </c>
      <c r="F72" s="57" t="s">
        <v>104</v>
      </c>
      <c r="G72" s="57" t="s">
        <v>82</v>
      </c>
      <c r="H72" s="57"/>
    </row>
    <row r="73" spans="2:8" ht="15" customHeight="1" x14ac:dyDescent="0.25">
      <c r="B73" s="15"/>
      <c r="C73" s="60" t="s">
        <v>205</v>
      </c>
      <c r="D73" s="11" t="s">
        <v>1</v>
      </c>
      <c r="E73" s="11" t="s">
        <v>1</v>
      </c>
      <c r="F73" s="57" t="s">
        <v>105</v>
      </c>
      <c r="G73" s="57" t="s">
        <v>82</v>
      </c>
      <c r="H73" s="57"/>
    </row>
    <row r="74" spans="2:8" ht="15" customHeight="1" x14ac:dyDescent="0.25">
      <c r="C74" s="61" t="s">
        <v>206</v>
      </c>
      <c r="D74" s="11" t="s">
        <v>1</v>
      </c>
      <c r="E74" s="58" t="s">
        <v>50</v>
      </c>
      <c r="F74" s="57" t="s">
        <v>106</v>
      </c>
      <c r="G74" s="57" t="s">
        <v>60</v>
      </c>
      <c r="H74" s="57"/>
    </row>
    <row r="75" spans="2:8" ht="15" customHeight="1" x14ac:dyDescent="0.25">
      <c r="C75" s="60" t="s">
        <v>207</v>
      </c>
      <c r="D75" s="11" t="s">
        <v>1</v>
      </c>
      <c r="E75" s="11" t="s">
        <v>1</v>
      </c>
      <c r="F75" s="57" t="s">
        <v>107</v>
      </c>
      <c r="G75" s="57" t="s">
        <v>82</v>
      </c>
      <c r="H75" s="57"/>
    </row>
    <row r="76" spans="2:8" ht="15" customHeight="1" x14ac:dyDescent="0.25">
      <c r="C76" s="61" t="s">
        <v>208</v>
      </c>
      <c r="D76" s="11" t="s">
        <v>1</v>
      </c>
      <c r="E76" s="11" t="s">
        <v>1</v>
      </c>
      <c r="F76" s="57" t="s">
        <v>108</v>
      </c>
      <c r="G76" s="57" t="s">
        <v>98</v>
      </c>
      <c r="H76" s="57"/>
    </row>
    <row r="77" spans="2:8" ht="15" customHeight="1" x14ac:dyDescent="0.25">
      <c r="C77" s="60" t="s">
        <v>209</v>
      </c>
      <c r="D77" s="11" t="s">
        <v>1</v>
      </c>
      <c r="E77" s="11" t="s">
        <v>1</v>
      </c>
      <c r="F77" s="57" t="s">
        <v>109</v>
      </c>
      <c r="G77" s="57" t="s">
        <v>98</v>
      </c>
      <c r="H77" s="57"/>
    </row>
    <row r="78" spans="2:8" ht="15" customHeight="1" x14ac:dyDescent="0.25">
      <c r="C78" s="61" t="s">
        <v>210</v>
      </c>
      <c r="D78" s="11" t="s">
        <v>1</v>
      </c>
      <c r="E78" s="11" t="s">
        <v>1</v>
      </c>
      <c r="F78" s="57" t="s">
        <v>110</v>
      </c>
      <c r="G78" s="57" t="s">
        <v>58</v>
      </c>
      <c r="H78" s="57"/>
    </row>
    <row r="79" spans="2:8" ht="15" customHeight="1" x14ac:dyDescent="0.25">
      <c r="C79" s="60" t="s">
        <v>211</v>
      </c>
      <c r="D79" s="11" t="s">
        <v>1</v>
      </c>
      <c r="E79" s="11" t="s">
        <v>1</v>
      </c>
      <c r="F79" s="57" t="s">
        <v>111</v>
      </c>
      <c r="G79" s="57" t="s">
        <v>58</v>
      </c>
      <c r="H79" s="57"/>
    </row>
    <row r="80" spans="2:8" ht="15" customHeight="1" x14ac:dyDescent="0.25">
      <c r="C80" s="61" t="s">
        <v>212</v>
      </c>
      <c r="D80" s="11" t="s">
        <v>1</v>
      </c>
      <c r="E80" s="11" t="s">
        <v>1</v>
      </c>
      <c r="F80" s="57" t="s">
        <v>112</v>
      </c>
      <c r="G80" s="57" t="s">
        <v>58</v>
      </c>
      <c r="H80" s="57"/>
    </row>
    <row r="81" spans="2:8" ht="15" customHeight="1" x14ac:dyDescent="0.25">
      <c r="C81" s="60" t="s">
        <v>213</v>
      </c>
      <c r="D81" s="11" t="s">
        <v>1</v>
      </c>
      <c r="E81" s="58" t="s">
        <v>50</v>
      </c>
      <c r="F81" s="57" t="s">
        <v>113</v>
      </c>
      <c r="G81" s="57" t="s">
        <v>60</v>
      </c>
      <c r="H81" s="57"/>
    </row>
    <row r="83" spans="2:8" x14ac:dyDescent="0.25">
      <c r="B83" s="10"/>
      <c r="C83" s="12" t="s">
        <v>2</v>
      </c>
      <c r="D83" s="13">
        <f>+COUNTIF(D68:D81,"Yes")</f>
        <v>14</v>
      </c>
      <c r="E83" s="13">
        <f>+COUNTIF(E68:E81,"Yes")</f>
        <v>12</v>
      </c>
      <c r="F83" s="10"/>
      <c r="G83" s="10"/>
    </row>
    <row r="85" spans="2:8" ht="18.75" x14ac:dyDescent="0.25">
      <c r="B85" s="15" t="s">
        <v>32</v>
      </c>
    </row>
    <row r="86" spans="2:8" ht="15" customHeight="1" x14ac:dyDescent="0.25">
      <c r="B86" s="15"/>
      <c r="C86" s="60" t="s">
        <v>214</v>
      </c>
      <c r="D86" s="11" t="s">
        <v>1</v>
      </c>
      <c r="E86" s="11" t="s">
        <v>1</v>
      </c>
      <c r="F86" s="57" t="s">
        <v>114</v>
      </c>
      <c r="G86" s="57" t="s">
        <v>98</v>
      </c>
    </row>
    <row r="87" spans="2:8" ht="15" customHeight="1" x14ac:dyDescent="0.25">
      <c r="B87" s="15"/>
      <c r="C87" s="61" t="s">
        <v>215</v>
      </c>
      <c r="D87" s="11" t="s">
        <v>1</v>
      </c>
      <c r="E87" s="58" t="s">
        <v>50</v>
      </c>
      <c r="F87" s="57" t="s">
        <v>115</v>
      </c>
      <c r="G87" s="57" t="s">
        <v>60</v>
      </c>
    </row>
    <row r="88" spans="2:8" ht="15" customHeight="1" x14ac:dyDescent="0.25">
      <c r="B88" s="15"/>
      <c r="C88" s="60" t="s">
        <v>216</v>
      </c>
      <c r="D88" s="11" t="s">
        <v>1</v>
      </c>
      <c r="E88" s="11" t="s">
        <v>1</v>
      </c>
      <c r="F88" s="57" t="s">
        <v>116</v>
      </c>
      <c r="G88" s="57" t="s">
        <v>58</v>
      </c>
    </row>
    <row r="89" spans="2:8" ht="15" customHeight="1" x14ac:dyDescent="0.25">
      <c r="B89" s="15"/>
      <c r="C89" s="61" t="s">
        <v>217</v>
      </c>
      <c r="D89" s="11" t="s">
        <v>1</v>
      </c>
      <c r="E89" s="11" t="s">
        <v>1</v>
      </c>
      <c r="F89" s="57" t="s">
        <v>117</v>
      </c>
      <c r="G89" s="57" t="s">
        <v>58</v>
      </c>
    </row>
    <row r="90" spans="2:8" ht="15" customHeight="1" x14ac:dyDescent="0.25">
      <c r="B90" s="15"/>
      <c r="C90" s="60" t="s">
        <v>218</v>
      </c>
      <c r="D90" s="11" t="s">
        <v>1</v>
      </c>
      <c r="E90" s="11" t="s">
        <v>1</v>
      </c>
      <c r="F90" s="57" t="s">
        <v>118</v>
      </c>
      <c r="G90" s="57" t="s">
        <v>58</v>
      </c>
    </row>
    <row r="91" spans="2:8" ht="15" customHeight="1" x14ac:dyDescent="0.25">
      <c r="B91" s="15"/>
      <c r="C91" s="61" t="s">
        <v>219</v>
      </c>
      <c r="D91" s="11" t="s">
        <v>1</v>
      </c>
      <c r="E91" s="11" t="s">
        <v>1</v>
      </c>
      <c r="F91" s="57" t="s">
        <v>119</v>
      </c>
      <c r="G91" s="57" t="s">
        <v>98</v>
      </c>
    </row>
    <row r="92" spans="2:8" ht="15" customHeight="1" x14ac:dyDescent="0.25">
      <c r="B92" s="15"/>
      <c r="C92" s="60" t="s">
        <v>220</v>
      </c>
      <c r="D92" s="11" t="s">
        <v>1</v>
      </c>
      <c r="E92" s="11" t="s">
        <v>1</v>
      </c>
      <c r="F92" s="57" t="s">
        <v>120</v>
      </c>
      <c r="G92" s="57" t="s">
        <v>58</v>
      </c>
    </row>
    <row r="93" spans="2:8" ht="15" customHeight="1" x14ac:dyDescent="0.25">
      <c r="B93" s="15"/>
      <c r="C93" s="61" t="s">
        <v>221</v>
      </c>
      <c r="D93" s="11" t="s">
        <v>1</v>
      </c>
      <c r="E93" s="11" t="s">
        <v>1</v>
      </c>
      <c r="F93" s="57" t="s">
        <v>121</v>
      </c>
      <c r="G93" s="57" t="s">
        <v>98</v>
      </c>
    </row>
    <row r="94" spans="2:8" ht="15" customHeight="1" x14ac:dyDescent="0.25">
      <c r="B94" s="15"/>
      <c r="C94" s="60" t="s">
        <v>222</v>
      </c>
      <c r="D94" s="11" t="s">
        <v>1</v>
      </c>
      <c r="E94" s="58" t="s">
        <v>50</v>
      </c>
      <c r="F94" s="57" t="s">
        <v>122</v>
      </c>
      <c r="G94" s="57" t="s">
        <v>60</v>
      </c>
    </row>
    <row r="95" spans="2:8" ht="15" customHeight="1" x14ac:dyDescent="0.25">
      <c r="B95" s="15"/>
      <c r="C95" s="61" t="s">
        <v>223</v>
      </c>
      <c r="D95" s="11" t="s">
        <v>1</v>
      </c>
      <c r="E95" s="11" t="s">
        <v>1</v>
      </c>
      <c r="F95" s="57" t="s">
        <v>123</v>
      </c>
      <c r="G95" s="57" t="s">
        <v>98</v>
      </c>
    </row>
    <row r="96" spans="2:8" ht="15" customHeight="1" x14ac:dyDescent="0.25">
      <c r="B96" s="15"/>
      <c r="C96" s="60" t="s">
        <v>224</v>
      </c>
      <c r="D96" s="11" t="s">
        <v>1</v>
      </c>
      <c r="E96" s="58" t="s">
        <v>50</v>
      </c>
      <c r="F96" s="57" t="s">
        <v>124</v>
      </c>
      <c r="G96" s="57" t="s">
        <v>60</v>
      </c>
    </row>
    <row r="97" spans="2:7" ht="15" customHeight="1" x14ac:dyDescent="0.25">
      <c r="B97" s="15"/>
      <c r="C97" s="61" t="s">
        <v>225</v>
      </c>
      <c r="D97" s="11" t="s">
        <v>1</v>
      </c>
      <c r="E97" s="58" t="s">
        <v>50</v>
      </c>
      <c r="F97" s="57" t="s">
        <v>125</v>
      </c>
      <c r="G97" s="57" t="s">
        <v>60</v>
      </c>
    </row>
    <row r="98" spans="2:7" ht="15" customHeight="1" x14ac:dyDescent="0.25">
      <c r="B98" s="15"/>
      <c r="C98" s="60" t="s">
        <v>226</v>
      </c>
      <c r="D98" s="11" t="s">
        <v>1</v>
      </c>
      <c r="E98" s="11" t="s">
        <v>1</v>
      </c>
      <c r="F98" s="57" t="s">
        <v>126</v>
      </c>
      <c r="G98" s="57" t="s">
        <v>58</v>
      </c>
    </row>
    <row r="99" spans="2:7" ht="15" customHeight="1" x14ac:dyDescent="0.25">
      <c r="B99" s="15"/>
      <c r="C99" s="61" t="s">
        <v>227</v>
      </c>
      <c r="D99" s="11" t="s">
        <v>1</v>
      </c>
      <c r="E99" s="11" t="s">
        <v>1</v>
      </c>
      <c r="F99" s="57" t="s">
        <v>127</v>
      </c>
      <c r="G99" s="57" t="s">
        <v>58</v>
      </c>
    </row>
    <row r="100" spans="2:7" ht="15" customHeight="1" x14ac:dyDescent="0.25">
      <c r="B100" s="15"/>
      <c r="C100" s="60" t="s">
        <v>228</v>
      </c>
      <c r="D100" s="11" t="s">
        <v>1</v>
      </c>
      <c r="E100" s="11" t="s">
        <v>1</v>
      </c>
      <c r="F100" s="57" t="s">
        <v>128</v>
      </c>
      <c r="G100" s="57" t="s">
        <v>58</v>
      </c>
    </row>
    <row r="101" spans="2:7" ht="15" customHeight="1" x14ac:dyDescent="0.25">
      <c r="B101" s="15"/>
      <c r="C101" s="61" t="s">
        <v>229</v>
      </c>
      <c r="D101" s="11" t="s">
        <v>1</v>
      </c>
      <c r="E101" s="58" t="s">
        <v>50</v>
      </c>
      <c r="F101" s="57" t="s">
        <v>129</v>
      </c>
      <c r="G101" s="57" t="s">
        <v>60</v>
      </c>
    </row>
    <row r="102" spans="2:7" ht="15" customHeight="1" x14ac:dyDescent="0.25">
      <c r="B102" s="15"/>
      <c r="C102" s="60" t="s">
        <v>230</v>
      </c>
      <c r="D102" s="11" t="s">
        <v>1</v>
      </c>
      <c r="E102" s="11" t="s">
        <v>1</v>
      </c>
      <c r="F102" s="57" t="s">
        <v>130</v>
      </c>
      <c r="G102" s="57" t="s">
        <v>82</v>
      </c>
    </row>
    <row r="103" spans="2:7" ht="15" customHeight="1" x14ac:dyDescent="0.25">
      <c r="B103" s="15"/>
      <c r="C103" s="61" t="s">
        <v>231</v>
      </c>
      <c r="D103" s="11" t="s">
        <v>1</v>
      </c>
      <c r="E103" s="58" t="s">
        <v>50</v>
      </c>
      <c r="F103" s="57" t="s">
        <v>115</v>
      </c>
      <c r="G103" s="57" t="s">
        <v>60</v>
      </c>
    </row>
    <row r="104" spans="2:7" ht="15" customHeight="1" x14ac:dyDescent="0.25">
      <c r="B104" s="15"/>
      <c r="C104" s="60" t="s">
        <v>232</v>
      </c>
      <c r="D104" s="11" t="s">
        <v>1</v>
      </c>
      <c r="E104" s="11" t="s">
        <v>1</v>
      </c>
      <c r="F104" s="57" t="s">
        <v>131</v>
      </c>
      <c r="G104" s="57" t="s">
        <v>58</v>
      </c>
    </row>
    <row r="105" spans="2:7" ht="15" customHeight="1" x14ac:dyDescent="0.25">
      <c r="B105" s="15"/>
      <c r="C105" s="61" t="s">
        <v>233</v>
      </c>
      <c r="D105" s="11" t="s">
        <v>1</v>
      </c>
      <c r="E105" s="11" t="s">
        <v>1</v>
      </c>
      <c r="F105" s="57" t="s">
        <v>132</v>
      </c>
      <c r="G105" s="57"/>
    </row>
    <row r="106" spans="2:7" ht="15" customHeight="1" x14ac:dyDescent="0.25">
      <c r="B106" s="15"/>
      <c r="C106" s="60" t="s">
        <v>234</v>
      </c>
      <c r="D106" s="11" t="s">
        <v>1</v>
      </c>
      <c r="E106" s="11" t="s">
        <v>1</v>
      </c>
      <c r="F106" s="57" t="s">
        <v>133</v>
      </c>
      <c r="G106" s="57" t="s">
        <v>58</v>
      </c>
    </row>
    <row r="107" spans="2:7" ht="15" customHeight="1" x14ac:dyDescent="0.25">
      <c r="B107" s="15"/>
      <c r="C107" s="61" t="s">
        <v>235</v>
      </c>
      <c r="D107" s="11" t="s">
        <v>1</v>
      </c>
      <c r="E107" s="11" t="s">
        <v>1</v>
      </c>
      <c r="F107" s="57" t="s">
        <v>134</v>
      </c>
      <c r="G107" s="57" t="s">
        <v>58</v>
      </c>
    </row>
    <row r="108" spans="2:7" ht="15" customHeight="1" x14ac:dyDescent="0.25">
      <c r="B108" s="15"/>
      <c r="C108" s="60" t="s">
        <v>236</v>
      </c>
      <c r="D108" s="11" t="s">
        <v>1</v>
      </c>
      <c r="E108" s="11" t="s">
        <v>1</v>
      </c>
      <c r="F108" s="57" t="s">
        <v>135</v>
      </c>
      <c r="G108" s="57" t="s">
        <v>58</v>
      </c>
    </row>
    <row r="109" spans="2:7" ht="15" customHeight="1" x14ac:dyDescent="0.25">
      <c r="B109" s="15"/>
      <c r="C109" s="61" t="s">
        <v>237</v>
      </c>
      <c r="D109" s="11" t="s">
        <v>1</v>
      </c>
      <c r="E109" s="11" t="s">
        <v>1</v>
      </c>
      <c r="F109" s="57" t="s">
        <v>136</v>
      </c>
      <c r="G109" s="57" t="s">
        <v>98</v>
      </c>
    </row>
    <row r="110" spans="2:7" ht="15" customHeight="1" x14ac:dyDescent="0.25">
      <c r="B110" s="15"/>
      <c r="C110" s="60" t="s">
        <v>238</v>
      </c>
      <c r="D110" s="11" t="s">
        <v>1</v>
      </c>
      <c r="E110" s="11" t="s">
        <v>1</v>
      </c>
      <c r="F110" s="57" t="s">
        <v>137</v>
      </c>
      <c r="G110" s="57" t="s">
        <v>98</v>
      </c>
    </row>
    <row r="111" spans="2:7" ht="15" customHeight="1" x14ac:dyDescent="0.25">
      <c r="B111" s="15"/>
      <c r="C111" s="61" t="s">
        <v>239</v>
      </c>
      <c r="D111" s="11" t="s">
        <v>1</v>
      </c>
      <c r="E111" s="58" t="s">
        <v>50</v>
      </c>
      <c r="F111" s="57" t="s">
        <v>138</v>
      </c>
      <c r="G111" s="57" t="s">
        <v>60</v>
      </c>
    </row>
    <row r="112" spans="2:7" ht="15" customHeight="1" x14ac:dyDescent="0.25">
      <c r="B112" s="15"/>
      <c r="C112" s="60" t="s">
        <v>240</v>
      </c>
      <c r="D112" s="11" t="s">
        <v>1</v>
      </c>
      <c r="E112" s="11" t="s">
        <v>1</v>
      </c>
      <c r="F112" s="57" t="s">
        <v>139</v>
      </c>
      <c r="G112" s="57" t="s">
        <v>98</v>
      </c>
    </row>
    <row r="113" spans="2:7" ht="15" customHeight="1" x14ac:dyDescent="0.25">
      <c r="B113" s="15"/>
      <c r="C113" s="61" t="s">
        <v>241</v>
      </c>
      <c r="D113" s="11" t="s">
        <v>1</v>
      </c>
      <c r="E113" s="11" t="s">
        <v>1</v>
      </c>
      <c r="F113" s="57" t="s">
        <v>140</v>
      </c>
      <c r="G113" s="57" t="s">
        <v>98</v>
      </c>
    </row>
    <row r="114" spans="2:7" ht="15" customHeight="1" x14ac:dyDescent="0.25">
      <c r="B114" s="15"/>
      <c r="C114" s="60" t="s">
        <v>242</v>
      </c>
      <c r="D114" s="11" t="s">
        <v>1</v>
      </c>
      <c r="E114" s="11" t="s">
        <v>1</v>
      </c>
      <c r="F114" s="57" t="s">
        <v>121</v>
      </c>
      <c r="G114" s="57" t="s">
        <v>58</v>
      </c>
    </row>
    <row r="115" spans="2:7" ht="15" customHeight="1" x14ac:dyDescent="0.25">
      <c r="B115" s="15"/>
      <c r="C115" s="61" t="s">
        <v>243</v>
      </c>
      <c r="D115" s="11" t="s">
        <v>1</v>
      </c>
      <c r="E115" s="11" t="s">
        <v>1</v>
      </c>
      <c r="F115" s="57" t="s">
        <v>141</v>
      </c>
      <c r="G115" s="57" t="s">
        <v>98</v>
      </c>
    </row>
    <row r="116" spans="2:7" ht="15" customHeight="1" x14ac:dyDescent="0.25">
      <c r="C116" s="60" t="s">
        <v>244</v>
      </c>
      <c r="D116" s="11" t="s">
        <v>1</v>
      </c>
      <c r="E116" s="58" t="s">
        <v>50</v>
      </c>
      <c r="F116" s="57" t="s">
        <v>142</v>
      </c>
      <c r="G116" s="57" t="s">
        <v>60</v>
      </c>
    </row>
    <row r="117" spans="2:7" ht="15" customHeight="1" x14ac:dyDescent="0.25">
      <c r="C117" s="61" t="s">
        <v>245</v>
      </c>
      <c r="D117" s="11" t="s">
        <v>1</v>
      </c>
      <c r="E117" s="11" t="s">
        <v>1</v>
      </c>
      <c r="F117" s="57" t="s">
        <v>143</v>
      </c>
      <c r="G117" s="57" t="s">
        <v>58</v>
      </c>
    </row>
    <row r="118" spans="2:7" ht="15" customHeight="1" x14ac:dyDescent="0.25">
      <c r="C118" s="60" t="s">
        <v>246</v>
      </c>
      <c r="D118" s="11" t="s">
        <v>1</v>
      </c>
      <c r="E118" s="58" t="s">
        <v>50</v>
      </c>
      <c r="F118" s="57" t="s">
        <v>124</v>
      </c>
      <c r="G118" s="57" t="s">
        <v>60</v>
      </c>
    </row>
    <row r="119" spans="2:7" ht="15" customHeight="1" x14ac:dyDescent="0.25">
      <c r="C119" s="61" t="s">
        <v>247</v>
      </c>
      <c r="D119" s="11" t="s">
        <v>1</v>
      </c>
      <c r="E119" s="11" t="s">
        <v>1</v>
      </c>
      <c r="F119" s="57" t="s">
        <v>144</v>
      </c>
      <c r="G119" s="57" t="s">
        <v>82</v>
      </c>
    </row>
    <row r="121" spans="2:7" x14ac:dyDescent="0.25">
      <c r="B121" s="10"/>
      <c r="C121" s="12" t="s">
        <v>2</v>
      </c>
      <c r="D121" s="13">
        <f>+COUNTIF(D86:D119,"Yes")</f>
        <v>34</v>
      </c>
      <c r="E121" s="13">
        <f>+COUNTIF(E86:E119,"Yes")</f>
        <v>25</v>
      </c>
      <c r="F121" s="10"/>
      <c r="G121" s="10"/>
    </row>
  </sheetData>
  <dataValidations count="1">
    <dataValidation type="list" allowBlank="1" showInputMessage="1" showErrorMessage="1" sqref="D15:E51 D56:E63 D68:E81 D86:E119" xr:uid="{86130246-2006-4A66-B1D3-2E754C25AD1E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horizontalDpi="1200" verticalDpi="1200" r:id="rId1"/>
  <headerFooter>
    <oddFooter>&amp;L&amp;D&amp;CPage &amp;P of &amp;N&amp;R[Insert classification]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9251-5F92-467A-B59C-45BE7C5B9F60}">
  <sheetPr>
    <pageSetUpPr fitToPage="1"/>
  </sheetPr>
  <dimension ref="A2:AH44"/>
  <sheetViews>
    <sheetView showGridLines="0" topLeftCell="A40" zoomScaleNormal="100" workbookViewId="0">
      <selection activeCell="F13" sqref="F13"/>
    </sheetView>
  </sheetViews>
  <sheetFormatPr defaultColWidth="9.140625" defaultRowHeight="15" x14ac:dyDescent="0.25"/>
  <cols>
    <col min="1" max="1" width="2.85546875" style="2" customWidth="1"/>
    <col min="2" max="2" width="65.7109375" style="2" customWidth="1"/>
    <col min="3" max="6" width="15.7109375" style="2" customWidth="1"/>
    <col min="7" max="7" width="18.7109375" style="2" customWidth="1"/>
    <col min="8" max="8" width="5.7109375" style="2" customWidth="1"/>
    <col min="9" max="16384" width="9.140625" style="2"/>
  </cols>
  <sheetData>
    <row r="2" spans="2:34" x14ac:dyDescent="0.25">
      <c r="B2" s="3"/>
    </row>
    <row r="3" spans="2:34" x14ac:dyDescent="0.25">
      <c r="B3" s="3"/>
    </row>
    <row r="4" spans="2:34" x14ac:dyDescent="0.25">
      <c r="B4" s="3"/>
    </row>
    <row r="5" spans="2:34" x14ac:dyDescent="0.25">
      <c r="B5" s="3"/>
    </row>
    <row r="6" spans="2:34" x14ac:dyDescent="0.25">
      <c r="B6" s="3"/>
    </row>
    <row r="7" spans="2:34" x14ac:dyDescent="0.25">
      <c r="B7" s="3"/>
    </row>
    <row r="8" spans="2:34" customFormat="1" ht="21" x14ac:dyDescent="0.35">
      <c r="B8" s="54" t="s">
        <v>34</v>
      </c>
      <c r="AA8" s="29"/>
      <c r="AB8" s="29"/>
      <c r="AC8" s="29"/>
      <c r="AD8" s="29"/>
      <c r="AE8" s="29"/>
      <c r="AF8" s="29"/>
      <c r="AG8" s="29"/>
      <c r="AH8" s="29"/>
    </row>
    <row r="9" spans="2:34" ht="15.75" x14ac:dyDescent="0.25">
      <c r="B9" s="55" t="s">
        <v>20</v>
      </c>
    </row>
    <row r="10" spans="2:34" x14ac:dyDescent="0.25">
      <c r="B10" s="3"/>
    </row>
    <row r="11" spans="2:34" ht="21.95" customHeight="1" x14ac:dyDescent="0.25">
      <c r="B11" s="56" t="s">
        <v>21</v>
      </c>
      <c r="C11" s="30"/>
      <c r="E11" s="30"/>
      <c r="F11" s="30"/>
    </row>
    <row r="12" spans="2:34" x14ac:dyDescent="0.25">
      <c r="B12" s="1"/>
    </row>
    <row r="13" spans="2:34" ht="30" customHeight="1" x14ac:dyDescent="0.25">
      <c r="B13" s="17" t="s">
        <v>6</v>
      </c>
      <c r="C13" s="18" t="s">
        <v>13</v>
      </c>
      <c r="D13" s="18" t="s">
        <v>14</v>
      </c>
      <c r="E13" s="18" t="s">
        <v>15</v>
      </c>
      <c r="F13" s="18" t="s">
        <v>16</v>
      </c>
      <c r="G13" s="18" t="s">
        <v>17</v>
      </c>
      <c r="H13" s="18"/>
      <c r="I13" s="31" t="s">
        <v>35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2:34" x14ac:dyDescent="0.25">
      <c r="B14" s="9" t="s">
        <v>29</v>
      </c>
      <c r="C14" s="14">
        <v>37</v>
      </c>
      <c r="D14" s="23">
        <f>'ISO27001 Annex A Applicability'!D53</f>
        <v>37</v>
      </c>
      <c r="E14" s="37">
        <f>ISO27001ApplicabilityTableResults11[[#This Row],[APPLICABLE CONTROLS]]/ISO27001ApplicabilityTableResults11[[#This Row],[NO OF CONTROLS]]</f>
        <v>1</v>
      </c>
      <c r="F14" s="23">
        <f>'ISO27001 Annex A Applicability'!E53</f>
        <v>31</v>
      </c>
      <c r="G14" s="27">
        <f>IF(D14=0,1,+F14/D14)</f>
        <v>0.83783783783783783</v>
      </c>
      <c r="H14" s="27"/>
      <c r="I14" s="27"/>
    </row>
    <row r="15" spans="2:34" x14ac:dyDescent="0.25">
      <c r="B15" s="20" t="s">
        <v>30</v>
      </c>
      <c r="C15" s="14">
        <v>8</v>
      </c>
      <c r="D15" s="23">
        <f>'ISO27001 Annex A Applicability'!D65</f>
        <v>8</v>
      </c>
      <c r="E15" s="37">
        <f>ISO27001ApplicabilityTableResults11[[#This Row],[APPLICABLE CONTROLS]]/ISO27001ApplicabilityTableResults11[[#This Row],[NO OF CONTROLS]]</f>
        <v>1</v>
      </c>
      <c r="F15" s="23">
        <f>'ISO27001 Annex A Applicability'!E65</f>
        <v>8</v>
      </c>
      <c r="G15" s="27">
        <f t="shared" ref="G15:G17" si="0">IF(D15=0,1,+F15/D15)</f>
        <v>1</v>
      </c>
      <c r="H15" s="27"/>
      <c r="I15" s="27"/>
    </row>
    <row r="16" spans="2:34" x14ac:dyDescent="0.25">
      <c r="B16" s="9" t="s">
        <v>31</v>
      </c>
      <c r="C16" s="14">
        <v>14</v>
      </c>
      <c r="D16" s="23">
        <f>'ISO27001 Annex A Applicability'!D83</f>
        <v>14</v>
      </c>
      <c r="E16" s="37">
        <f>ISO27001ApplicabilityTableResults11[[#This Row],[APPLICABLE CONTROLS]]/ISO27001ApplicabilityTableResults11[[#This Row],[NO OF CONTROLS]]</f>
        <v>1</v>
      </c>
      <c r="F16" s="23">
        <f>'ISO27001 Annex A Applicability'!E83</f>
        <v>12</v>
      </c>
      <c r="G16" s="27">
        <f t="shared" si="0"/>
        <v>0.8571428571428571</v>
      </c>
      <c r="H16" s="27"/>
      <c r="I16" s="27"/>
    </row>
    <row r="17" spans="1:9" x14ac:dyDescent="0.25">
      <c r="B17" s="20" t="s">
        <v>32</v>
      </c>
      <c r="C17" s="14">
        <v>34</v>
      </c>
      <c r="D17" s="23">
        <f>'ISO27001 Annex A Applicability'!D121</f>
        <v>34</v>
      </c>
      <c r="E17" s="37">
        <f>ISO27001ApplicabilityTableResults11[[#This Row],[APPLICABLE CONTROLS]]/ISO27001ApplicabilityTableResults11[[#This Row],[NO OF CONTROLS]]</f>
        <v>1</v>
      </c>
      <c r="F17" s="23">
        <f>'ISO27001 Annex A Applicability'!E121</f>
        <v>25</v>
      </c>
      <c r="G17" s="27">
        <f t="shared" si="0"/>
        <v>0.73529411764705888</v>
      </c>
      <c r="H17" s="27"/>
      <c r="I17" s="27"/>
    </row>
    <row r="18" spans="1:9" x14ac:dyDescent="0.25">
      <c r="B18" s="21" t="s">
        <v>19</v>
      </c>
      <c r="C18" s="22">
        <f>SUBTOTAL(109,ISO27001ApplicabilityTableResults11[NO OF CONTROLS])</f>
        <v>93</v>
      </c>
      <c r="D18" s="24">
        <f>SUBTOTAL(109,ISO27001ApplicabilityTableResults11[APPLICABLE CONTROLS])</f>
        <v>93</v>
      </c>
      <c r="E18" s="28">
        <f>SUBTOTAL(101,ISO27001ApplicabilityTableResults11[% CONTROLS APPLICABLE])</f>
        <v>1</v>
      </c>
      <c r="F18" s="24">
        <f>SUBTOTAL(109,ISO27001ApplicabilityTableResults11[CONTROLS IMPLEMENTED])</f>
        <v>76</v>
      </c>
      <c r="G18" s="28">
        <f>SUBTOTAL(101,ISO27001ApplicabilityTableResults11[% APP CONTROLS IMPLEMENTED])</f>
        <v>0.85756870315693845</v>
      </c>
      <c r="H18" s="27"/>
      <c r="I18" s="27"/>
    </row>
    <row r="19" spans="1:9" x14ac:dyDescent="0.25">
      <c r="B19" s="34"/>
      <c r="C19" s="22"/>
      <c r="D19" s="22"/>
      <c r="E19" s="35"/>
      <c r="F19" s="33"/>
      <c r="H19" s="27"/>
      <c r="I19" s="27"/>
    </row>
    <row r="20" spans="1:9" x14ac:dyDescent="0.25">
      <c r="C20" s="14"/>
      <c r="D20" s="14"/>
      <c r="E20" s="14"/>
      <c r="F20" s="33"/>
      <c r="H20" s="27"/>
      <c r="I20" s="27"/>
    </row>
    <row r="21" spans="1:9" x14ac:dyDescent="0.25">
      <c r="C21" s="14"/>
      <c r="D21" s="14"/>
      <c r="E21" s="14"/>
      <c r="F21" s="33"/>
      <c r="H21" s="27"/>
      <c r="I21" s="27"/>
    </row>
    <row r="22" spans="1:9" ht="18.75" x14ac:dyDescent="0.25">
      <c r="B22" s="41" t="s">
        <v>36</v>
      </c>
      <c r="C22" s="36"/>
      <c r="D22" s="36"/>
      <c r="E22" s="36"/>
      <c r="F22" s="52"/>
      <c r="G22" s="32"/>
      <c r="H22" s="27"/>
      <c r="I22" s="27"/>
    </row>
    <row r="23" spans="1:9" x14ac:dyDescent="0.25">
      <c r="C23" s="14"/>
      <c r="D23" s="14"/>
      <c r="E23" s="14"/>
      <c r="F23" s="33"/>
      <c r="H23" s="27"/>
      <c r="I23" s="27"/>
    </row>
    <row r="24" spans="1:9" x14ac:dyDescent="0.25">
      <c r="H24" s="27"/>
      <c r="I24" s="27"/>
    </row>
    <row r="25" spans="1:9" x14ac:dyDescent="0.25">
      <c r="A25" s="20"/>
      <c r="H25" s="27"/>
      <c r="I25" s="27"/>
    </row>
    <row r="26" spans="1:9" x14ac:dyDescent="0.25">
      <c r="A26" s="20"/>
      <c r="H26" s="27"/>
      <c r="I26" s="27"/>
    </row>
    <row r="27" spans="1:9" x14ac:dyDescent="0.25">
      <c r="H27" s="27"/>
      <c r="I27" s="27"/>
    </row>
    <row r="28" spans="1:9" x14ac:dyDescent="0.25">
      <c r="H28" s="28"/>
      <c r="I28" s="28"/>
    </row>
    <row r="32" spans="1:9" ht="21.95" customHeight="1" x14ac:dyDescent="0.25"/>
    <row r="38" spans="8:26" ht="18.75" x14ac:dyDescent="0.25">
      <c r="I38" s="31" t="s">
        <v>37</v>
      </c>
      <c r="J38" s="32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2"/>
      <c r="X38" s="32"/>
      <c r="Y38" s="32"/>
      <c r="Z38" s="32"/>
    </row>
    <row r="44" spans="8:26" ht="20.100000000000001" customHeight="1" x14ac:dyDescent="0.25">
      <c r="H44" s="51"/>
      <c r="I44" s="51"/>
      <c r="J44" s="53"/>
      <c r="K44" s="51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</row>
  </sheetData>
  <phoneticPr fontId="15" type="noConversion"/>
  <pageMargins left="0.23622047244094491" right="0.23622047244094491" top="0.39370078740157483" bottom="0.39370078740157483" header="0.19685039370078741" footer="0.19685039370078741"/>
  <pageSetup paperSize="9" scale="43" orientation="landscape" horizontalDpi="360" verticalDpi="36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C9C5-1696-4DF4-B1FA-A096827B4828}">
  <dimension ref="B4:G11"/>
  <sheetViews>
    <sheetView showGridLines="0" workbookViewId="0"/>
  </sheetViews>
  <sheetFormatPr defaultColWidth="9.140625" defaultRowHeight="15" x14ac:dyDescent="0.25"/>
  <cols>
    <col min="1" max="1" width="2.85546875" style="17" customWidth="1"/>
    <col min="2" max="2" width="67.140625" style="17" customWidth="1"/>
    <col min="3" max="4" width="12.7109375" style="23" customWidth="1"/>
    <col min="5" max="5" width="12.7109375" style="18" customWidth="1"/>
    <col min="6" max="6" width="14.7109375" style="23" customWidth="1"/>
    <col min="7" max="7" width="19.28515625" style="23" customWidth="1"/>
    <col min="8" max="16384" width="9.140625" style="17"/>
  </cols>
  <sheetData>
    <row r="4" spans="2:7" ht="18.75" x14ac:dyDescent="0.25">
      <c r="B4" s="19" t="s">
        <v>18</v>
      </c>
    </row>
    <row r="6" spans="2:7" ht="45" x14ac:dyDescent="0.25">
      <c r="B6" s="17" t="s">
        <v>6</v>
      </c>
      <c r="C6" s="18" t="s">
        <v>13</v>
      </c>
      <c r="D6" s="18" t="s">
        <v>14</v>
      </c>
      <c r="E6" s="18" t="s">
        <v>15</v>
      </c>
      <c r="F6" s="18" t="s">
        <v>16</v>
      </c>
      <c r="G6" s="18" t="s">
        <v>17</v>
      </c>
    </row>
    <row r="7" spans="2:7" x14ac:dyDescent="0.25">
      <c r="B7" s="9" t="s">
        <v>29</v>
      </c>
      <c r="C7" s="14">
        <v>37</v>
      </c>
      <c r="D7" s="23">
        <f>'ISO27001 Annex A Applicability'!D53</f>
        <v>37</v>
      </c>
      <c r="E7" s="25">
        <f>ISO27001ApplicabilityTableResults[[#This Row],[APPLICABLE CONTROLS]]/ISO27001ApplicabilityTableResults[[#This Row],[NO OF CONTROLS]]</f>
        <v>1</v>
      </c>
      <c r="F7" s="23">
        <f>'ISO27001 Annex A Applicability'!E53</f>
        <v>31</v>
      </c>
      <c r="G7" s="27">
        <f>IF(D7=0,1,+F7/D7)</f>
        <v>0.83783783783783783</v>
      </c>
    </row>
    <row r="8" spans="2:7" x14ac:dyDescent="0.25">
      <c r="B8" s="20" t="s">
        <v>30</v>
      </c>
      <c r="C8" s="14">
        <v>8</v>
      </c>
      <c r="D8" s="23">
        <f>'ISO27001 Annex A Applicability'!D65</f>
        <v>8</v>
      </c>
      <c r="E8" s="25">
        <f>ISO27001ApplicabilityTableResults[[#This Row],[APPLICABLE CONTROLS]]/ISO27001ApplicabilityTableResults[[#This Row],[NO OF CONTROLS]]</f>
        <v>1</v>
      </c>
      <c r="F8" s="23">
        <f>'ISO27001 Annex A Applicability'!E65</f>
        <v>8</v>
      </c>
      <c r="G8" s="27">
        <f t="shared" ref="G8:G10" si="0">IF(D8=0,1,+F8/D8)</f>
        <v>1</v>
      </c>
    </row>
    <row r="9" spans="2:7" x14ac:dyDescent="0.25">
      <c r="B9" s="9" t="s">
        <v>31</v>
      </c>
      <c r="C9" s="14">
        <v>14</v>
      </c>
      <c r="D9" s="23">
        <f>'ISO27001 Annex A Applicability'!D83</f>
        <v>14</v>
      </c>
      <c r="E9" s="25">
        <f>ISO27001ApplicabilityTableResults[[#This Row],[APPLICABLE CONTROLS]]/ISO27001ApplicabilityTableResults[[#This Row],[NO OF CONTROLS]]</f>
        <v>1</v>
      </c>
      <c r="F9" s="23">
        <f>'ISO27001 Annex A Applicability'!E83</f>
        <v>12</v>
      </c>
      <c r="G9" s="27">
        <f t="shared" si="0"/>
        <v>0.8571428571428571</v>
      </c>
    </row>
    <row r="10" spans="2:7" x14ac:dyDescent="0.25">
      <c r="B10" s="20" t="s">
        <v>32</v>
      </c>
      <c r="C10" s="14">
        <v>34</v>
      </c>
      <c r="D10" s="23">
        <f>'ISO27001 Annex A Applicability'!D121</f>
        <v>34</v>
      </c>
      <c r="E10" s="25">
        <f>ISO27001ApplicabilityTableResults[[#This Row],[APPLICABLE CONTROLS]]/ISO27001ApplicabilityTableResults[[#This Row],[NO OF CONTROLS]]</f>
        <v>1</v>
      </c>
      <c r="F10" s="23">
        <f>'ISO27001 Annex A Applicability'!E121</f>
        <v>25</v>
      </c>
      <c r="G10" s="27">
        <f t="shared" si="0"/>
        <v>0.73529411764705888</v>
      </c>
    </row>
    <row r="11" spans="2:7" x14ac:dyDescent="0.25">
      <c r="B11" s="21" t="s">
        <v>19</v>
      </c>
      <c r="C11" s="22">
        <f>SUBTOTAL(109,ISO27001ApplicabilityTableResults[NO OF CONTROLS])</f>
        <v>93</v>
      </c>
      <c r="D11" s="24">
        <f>SUBTOTAL(109,ISO27001ApplicabilityTableResults[APPLICABLE CONTROLS])</f>
        <v>93</v>
      </c>
      <c r="E11" s="26">
        <f>SUBTOTAL(101,ISO27001ApplicabilityTableResults[% CONTROLS APPLICABLE])</f>
        <v>1</v>
      </c>
      <c r="F11" s="24">
        <f>SUBTOTAL(109,ISO27001ApplicabilityTableResults[CONTROLS IMPLEMENTED])</f>
        <v>76</v>
      </c>
      <c r="G11" s="28">
        <f>SUBTOTAL(101,ISO27001ApplicabilityTableResults[% APP CONTROLS IMPLEMENTED])</f>
        <v>0.85756870315693845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BD63-850E-4C47-828F-FCAF53979144}">
  <dimension ref="B4:AD20"/>
  <sheetViews>
    <sheetView showGridLines="0" workbookViewId="0"/>
  </sheetViews>
  <sheetFormatPr defaultColWidth="9.140625" defaultRowHeight="15" x14ac:dyDescent="0.25"/>
  <cols>
    <col min="1" max="1" width="2.85546875" style="17" customWidth="1"/>
    <col min="2" max="2" width="25.140625" style="17" bestFit="1" customWidth="1"/>
    <col min="3" max="3" width="22.140625" style="40" bestFit="1" customWidth="1"/>
    <col min="4" max="5" width="24.7109375" style="40" bestFit="1" customWidth="1"/>
    <col min="6" max="30" width="64.140625" style="17" bestFit="1" customWidth="1"/>
    <col min="31" max="16384" width="9.140625" style="17"/>
  </cols>
  <sheetData>
    <row r="4" spans="2:30" ht="18.75" x14ac:dyDescent="0.25">
      <c r="B4" s="19" t="s">
        <v>22</v>
      </c>
    </row>
    <row r="6" spans="2:30" x14ac:dyDescent="0.25">
      <c r="B6" s="39" t="s">
        <v>6</v>
      </c>
      <c r="C6" s="39" t="s">
        <v>23</v>
      </c>
      <c r="D6" s="39" t="s">
        <v>24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2:30" x14ac:dyDescent="0.25">
      <c r="B7" s="17" t="s">
        <v>32</v>
      </c>
      <c r="C7" s="40">
        <v>34</v>
      </c>
      <c r="D7" s="40">
        <v>34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2:30" x14ac:dyDescent="0.25">
      <c r="B8" s="17" t="s">
        <v>31</v>
      </c>
      <c r="C8" s="40">
        <v>14</v>
      </c>
      <c r="D8" s="40">
        <v>14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2:30" x14ac:dyDescent="0.25">
      <c r="B9" s="17" t="s">
        <v>30</v>
      </c>
      <c r="C9" s="40">
        <v>8</v>
      </c>
      <c r="D9" s="40">
        <v>8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2:30" x14ac:dyDescent="0.25">
      <c r="B10" s="17" t="s">
        <v>29</v>
      </c>
      <c r="C10" s="40">
        <v>37</v>
      </c>
      <c r="D10" s="40">
        <v>37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2:30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2:30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2:30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2:30" x14ac:dyDescent="0.2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2:30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2:30" x14ac:dyDescent="0.2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2:30" x14ac:dyDescent="0.2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2:30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2:30" x14ac:dyDescent="0.25">
      <c r="B19"/>
      <c r="C19"/>
      <c r="D19"/>
      <c r="E19"/>
    </row>
    <row r="20" spans="2:30" x14ac:dyDescent="0.25">
      <c r="B20"/>
      <c r="C20"/>
      <c r="D20"/>
      <c r="E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D26C-CEAA-42DE-8F9A-7F34B91C4873}">
  <dimension ref="B1:D20"/>
  <sheetViews>
    <sheetView showGridLines="0" workbookViewId="0"/>
  </sheetViews>
  <sheetFormatPr defaultRowHeight="14.25" customHeight="1" x14ac:dyDescent="0.25"/>
  <cols>
    <col min="1" max="1" width="2.85546875" customWidth="1"/>
    <col min="2" max="2" width="25.140625" bestFit="1" customWidth="1"/>
    <col min="3" max="3" width="14.140625" style="42" bestFit="1" customWidth="1"/>
    <col min="4" max="4" width="12.42578125" style="42" bestFit="1" customWidth="1"/>
  </cols>
  <sheetData>
    <row r="1" spans="2:4" s="44" customFormat="1" ht="14.25" customHeight="1" x14ac:dyDescent="0.25">
      <c r="C1" s="45"/>
      <c r="D1" s="45"/>
    </row>
    <row r="2" spans="2:4" s="44" customFormat="1" ht="14.25" customHeight="1" x14ac:dyDescent="0.25">
      <c r="C2" s="45"/>
      <c r="D2" s="45"/>
    </row>
    <row r="3" spans="2:4" s="44" customFormat="1" ht="14.25" customHeight="1" x14ac:dyDescent="0.25">
      <c r="C3" s="45"/>
      <c r="D3" s="45"/>
    </row>
    <row r="4" spans="2:4" s="44" customFormat="1" ht="14.25" customHeight="1" x14ac:dyDescent="0.25">
      <c r="B4" s="46" t="s">
        <v>25</v>
      </c>
      <c r="C4" s="45"/>
      <c r="D4" s="45"/>
    </row>
    <row r="5" spans="2:4" s="44" customFormat="1" ht="14.25" customHeight="1" x14ac:dyDescent="0.25">
      <c r="C5" s="45"/>
      <c r="D5" s="45"/>
    </row>
    <row r="6" spans="2:4" s="44" customFormat="1" ht="45" x14ac:dyDescent="0.25">
      <c r="B6" s="47" t="s">
        <v>6</v>
      </c>
      <c r="C6" s="48" t="s">
        <v>26</v>
      </c>
      <c r="D6" s="48" t="s">
        <v>27</v>
      </c>
    </row>
    <row r="7" spans="2:4" s="44" customFormat="1" ht="15" x14ac:dyDescent="0.25">
      <c r="B7" s="44" t="s">
        <v>29</v>
      </c>
      <c r="C7" s="49">
        <v>1</v>
      </c>
      <c r="D7" s="49">
        <v>1</v>
      </c>
    </row>
    <row r="8" spans="2:4" s="44" customFormat="1" ht="15" x14ac:dyDescent="0.25">
      <c r="B8" s="44" t="s">
        <v>30</v>
      </c>
      <c r="C8" s="49">
        <v>1</v>
      </c>
      <c r="D8" s="49">
        <v>1</v>
      </c>
    </row>
    <row r="9" spans="2:4" s="44" customFormat="1" ht="15" x14ac:dyDescent="0.25">
      <c r="B9" s="44" t="s">
        <v>31</v>
      </c>
      <c r="C9" s="49">
        <v>1</v>
      </c>
      <c r="D9" s="49">
        <v>1</v>
      </c>
    </row>
    <row r="10" spans="2:4" s="44" customFormat="1" ht="15" x14ac:dyDescent="0.25">
      <c r="B10" s="44" t="s">
        <v>32</v>
      </c>
      <c r="C10" s="49">
        <v>1</v>
      </c>
      <c r="D10" s="49">
        <v>1</v>
      </c>
    </row>
    <row r="11" spans="2:4" s="44" customFormat="1" ht="15" x14ac:dyDescent="0.25">
      <c r="B11"/>
      <c r="C11"/>
      <c r="D11"/>
    </row>
    <row r="12" spans="2:4" s="44" customFormat="1" ht="15" x14ac:dyDescent="0.25">
      <c r="B12"/>
      <c r="C12"/>
      <c r="D12"/>
    </row>
    <row r="13" spans="2:4" s="44" customFormat="1" ht="15" x14ac:dyDescent="0.25">
      <c r="B13"/>
      <c r="C13"/>
      <c r="D13"/>
    </row>
    <row r="14" spans="2:4" s="44" customFormat="1" ht="15" x14ac:dyDescent="0.25">
      <c r="B14"/>
      <c r="C14"/>
      <c r="D14"/>
    </row>
    <row r="15" spans="2:4" s="44" customFormat="1" ht="15" x14ac:dyDescent="0.25">
      <c r="B15"/>
      <c r="C15"/>
      <c r="D15"/>
    </row>
    <row r="16" spans="2:4" s="44" customFormat="1" ht="15" x14ac:dyDescent="0.25">
      <c r="B16"/>
      <c r="C16"/>
      <c r="D16"/>
    </row>
    <row r="17" spans="2:4" s="44" customFormat="1" ht="15" x14ac:dyDescent="0.25">
      <c r="B17"/>
      <c r="C17"/>
      <c r="D17"/>
    </row>
    <row r="18" spans="2:4" s="44" customFormat="1" ht="15" x14ac:dyDescent="0.25">
      <c r="B18"/>
      <c r="C18"/>
      <c r="D18"/>
    </row>
    <row r="19" spans="2:4" s="44" customFormat="1" ht="15" x14ac:dyDescent="0.25">
      <c r="B19"/>
      <c r="C19"/>
      <c r="D19"/>
    </row>
    <row r="20" spans="2:4" s="44" customFormat="1" ht="15" x14ac:dyDescent="0.25">
      <c r="B20"/>
      <c r="C20"/>
      <c r="D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91E0-FAEA-40EC-A67B-6873A241379E}">
  <dimension ref="B4:D21"/>
  <sheetViews>
    <sheetView showGridLines="0" workbookViewId="0"/>
  </sheetViews>
  <sheetFormatPr defaultColWidth="9.140625" defaultRowHeight="15" x14ac:dyDescent="0.25"/>
  <cols>
    <col min="1" max="1" width="2.85546875" style="44" customWidth="1"/>
    <col min="2" max="2" width="25.140625" style="44" bestFit="1" customWidth="1"/>
    <col min="3" max="3" width="16.5703125" style="44" bestFit="1" customWidth="1"/>
    <col min="4" max="4" width="12.42578125" style="44" bestFit="1" customWidth="1"/>
    <col min="5" max="16384" width="9.140625" style="44"/>
  </cols>
  <sheetData>
    <row r="4" spans="2:4" ht="18.75" x14ac:dyDescent="0.25">
      <c r="B4" s="46" t="s">
        <v>28</v>
      </c>
    </row>
    <row r="6" spans="2:4" ht="45" x14ac:dyDescent="0.25">
      <c r="B6" s="39" t="s">
        <v>6</v>
      </c>
      <c r="C6" s="43" t="s">
        <v>26</v>
      </c>
      <c r="D6" s="43" t="s">
        <v>27</v>
      </c>
    </row>
    <row r="7" spans="2:4" x14ac:dyDescent="0.25">
      <c r="B7" s="44" t="s">
        <v>29</v>
      </c>
      <c r="C7" s="50">
        <v>1</v>
      </c>
      <c r="D7" s="50">
        <v>1</v>
      </c>
    </row>
    <row r="8" spans="2:4" x14ac:dyDescent="0.25">
      <c r="B8" s="44" t="s">
        <v>30</v>
      </c>
      <c r="C8" s="50">
        <v>1</v>
      </c>
      <c r="D8" s="50">
        <v>1</v>
      </c>
    </row>
    <row r="9" spans="2:4" x14ac:dyDescent="0.25">
      <c r="B9" s="44" t="s">
        <v>31</v>
      </c>
      <c r="C9" s="50">
        <v>1</v>
      </c>
      <c r="D9" s="50">
        <v>1</v>
      </c>
    </row>
    <row r="10" spans="2:4" x14ac:dyDescent="0.25">
      <c r="B10" s="44" t="s">
        <v>32</v>
      </c>
      <c r="C10" s="50">
        <v>1</v>
      </c>
      <c r="D10" s="50">
        <v>1</v>
      </c>
    </row>
    <row r="11" spans="2:4" x14ac:dyDescent="0.25">
      <c r="B11"/>
      <c r="C11"/>
      <c r="D11"/>
    </row>
    <row r="12" spans="2:4" x14ac:dyDescent="0.25">
      <c r="B12"/>
      <c r="C12"/>
      <c r="D12"/>
    </row>
    <row r="13" spans="2:4" x14ac:dyDescent="0.25">
      <c r="B13"/>
      <c r="C13"/>
      <c r="D13"/>
    </row>
    <row r="14" spans="2:4" x14ac:dyDescent="0.25">
      <c r="B14"/>
      <c r="C14"/>
      <c r="D14"/>
    </row>
    <row r="15" spans="2:4" x14ac:dyDescent="0.25">
      <c r="B15"/>
      <c r="C15"/>
      <c r="D15"/>
    </row>
    <row r="16" spans="2:4" x14ac:dyDescent="0.25">
      <c r="B16"/>
      <c r="C16"/>
      <c r="D16"/>
    </row>
    <row r="17" spans="2:4" x14ac:dyDescent="0.25">
      <c r="B17"/>
      <c r="C17"/>
      <c r="D17"/>
    </row>
    <row r="18" spans="2:4" x14ac:dyDescent="0.25">
      <c r="B18"/>
      <c r="C18"/>
      <c r="D18"/>
    </row>
    <row r="19" spans="2:4" x14ac:dyDescent="0.25">
      <c r="B19"/>
      <c r="C19"/>
      <c r="D19"/>
    </row>
    <row r="20" spans="2:4" x14ac:dyDescent="0.25">
      <c r="B20"/>
      <c r="C20"/>
      <c r="D20"/>
    </row>
    <row r="21" spans="2:4" x14ac:dyDescent="0.25">
      <c r="B21"/>
      <c r="C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843292D49187418BD21D9C97EA6F65" ma:contentTypeVersion="14" ma:contentTypeDescription="Create a new document." ma:contentTypeScope="" ma:versionID="d3977c999a0d19f80435e8a37523a1f4">
  <xsd:schema xmlns:xsd="http://www.w3.org/2001/XMLSchema" xmlns:xs="http://www.w3.org/2001/XMLSchema" xmlns:p="http://schemas.microsoft.com/office/2006/metadata/properties" xmlns:ns2="f1cf04bc-9f60-4a9d-874f-9541ee77ebfe" xmlns:ns3="89244998-67c5-4bad-a13d-4acc63ad7b2f" targetNamespace="http://schemas.microsoft.com/office/2006/metadata/properties" ma:root="true" ma:fieldsID="00153632ccd8eb7e3a00edf932385a7e" ns2:_="" ns3:_="">
    <xsd:import namespace="f1cf04bc-9f60-4a9d-874f-9541ee77ebfe"/>
    <xsd:import namespace="89244998-67c5-4bad-a13d-4acc63ad7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f04bc-9f60-4a9d-874f-9541ee77e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9a0526b-d517-4052-b134-bebbd45ec9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44998-67c5-4bad-a13d-4acc63ad7b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0bf2327-b9ba-4b5a-96ef-6cc459911f2d}" ma:internalName="TaxCatchAll" ma:showField="CatchAllData" ma:web="89244998-67c5-4bad-a13d-4acc63ad7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9244998-67c5-4bad-a13d-4acc63ad7b2f">
      <UserInfo>
        <DisplayName/>
        <AccountId xsi:nil="true"/>
        <AccountType/>
      </UserInfo>
    </SharedWithUsers>
    <lcf76f155ced4ddcb4097134ff3c332f xmlns="f1cf04bc-9f60-4a9d-874f-9541ee77ebfe">
      <Terms xmlns="http://schemas.microsoft.com/office/infopath/2007/PartnerControls"/>
    </lcf76f155ced4ddcb4097134ff3c332f>
    <TaxCatchAll xmlns="89244998-67c5-4bad-a13d-4acc63ad7b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341E8C8-6E66-45D1-82E4-62522DC3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f04bc-9f60-4a9d-874f-9541ee77ebfe"/>
    <ds:schemaRef ds:uri="89244998-67c5-4bad-a13d-4acc63ad7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8B4250-B95D-49BB-B3C5-3FC868E45619}">
  <ds:schemaRefs>
    <ds:schemaRef ds:uri="http://schemas.microsoft.com/office/2006/documentManagement/types"/>
    <ds:schemaRef ds:uri="f1cf04bc-9f60-4a9d-874f-9541ee77ebf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89244998-67c5-4bad-a13d-4acc63ad7b2f"/>
  </ds:schemaRefs>
</ds:datastoreItem>
</file>

<file path=customXml/itemProps3.xml><?xml version="1.0" encoding="utf-8"?>
<ds:datastoreItem xmlns:ds="http://schemas.openxmlformats.org/officeDocument/2006/customXml" ds:itemID="{BE29E310-ECC5-4B3B-9676-09C492D3B9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78CA14-430D-4A5A-9C0A-B9DD4DB296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Version</vt:lpstr>
      <vt:lpstr>ISO27001 Annex A Applicability</vt:lpstr>
      <vt:lpstr>ISO27001 Annex A Dashboard</vt:lpstr>
      <vt:lpstr>ISO27001 Applicability Table</vt:lpstr>
      <vt:lpstr>ISO27001 Results Chart</vt:lpstr>
      <vt:lpstr>ISO27001 % Results Chart</vt:lpstr>
      <vt:lpstr>ISO27001 % Radar Chart</vt:lpstr>
      <vt:lpstr>'ISO27001 Annex A Applicability'!Print_Titles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CertiKit ISO27001 Toolkit</dc:title>
  <dc:creator>Copyright CertiKit</dc:creator>
  <cp:lastModifiedBy>Ammar Doany</cp:lastModifiedBy>
  <cp:lastPrinted>2021-04-08T15:51:17Z</cp:lastPrinted>
  <dcterms:created xsi:type="dcterms:W3CDTF">2015-06-05T18:17:20Z</dcterms:created>
  <dcterms:modified xsi:type="dcterms:W3CDTF">2026-09-13T22:03:36Z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0x010100DA843292D49187418BD21D9C97EA6F65</vt:lpwstr>
  </property>
  <property fmtid="{D5CDD505-2E9C-101B-9397-08002B2CF9AE}" pid="3" name="Order">
    <vt:r8>1359100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